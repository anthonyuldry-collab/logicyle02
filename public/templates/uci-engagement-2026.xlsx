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letin Engagement UCI" sheetId="1" r:id="rId4"/>
    <sheet state="hidden" name="bdd" sheetId="2" r:id="rId5"/>
  </sheets>
  <definedNames>
    <definedName localSheetId="0" name="Text28">'Bulletin Engagement UCI'!#REF!</definedName>
    <definedName localSheetId="0" name="Text5">'Bulletin Engagement UCI'!$B$17</definedName>
    <definedName localSheetId="0" name="Text30">'Bulletin Engagement UCI'!$C$70</definedName>
    <definedName localSheetId="0" name="Text3">'Bulletin Engagement UCI'!$F$10</definedName>
    <definedName localSheetId="0" name="Text26">'Bulletin Engagement UCI'!$A$63</definedName>
    <definedName localSheetId="0" name="Text29">'Bulletin Engagement UCI'!$A$65</definedName>
    <definedName localSheetId="0" name="Text6">'Bulletin Engagement UCI'!$B$8</definedName>
    <definedName localSheetId="0" name="Text2">'Bulletin Engagement UCI'!$F$9</definedName>
  </definedNames>
  <calcPr/>
  <extLst>
    <ext uri="GoogleSheetsCustomDataVersion2">
      <go:sheetsCustomData xmlns:go="http://customooxmlschemas.google.com/" r:id="rId6" roundtripDataChecksum="bhsndsuLAGqR2O32MVkMeSYyNkCUX5CNRmJbJUskGqg="/>
    </ext>
  </extLst>
</workbook>
</file>

<file path=xl/sharedStrings.xml><?xml version="1.0" encoding="utf-8"?>
<sst xmlns="http://schemas.openxmlformats.org/spreadsheetml/2006/main" count="589" uniqueCount="489">
  <si>
    <r>
      <rPr>
        <rFont val="Calibri"/>
        <b/>
        <color theme="1"/>
        <sz val="14.0"/>
        <u/>
      </rPr>
      <t xml:space="preserve">BULLETIN OFFICIEL D’ENGAGEMENT
</t>
    </r>
    <r>
      <rPr>
        <rFont val="Calibri"/>
        <b/>
        <color theme="1"/>
        <sz val="14.0"/>
      </rPr>
      <t>POUR EPREUVES SUR ROUTE 2026</t>
    </r>
  </si>
  <si>
    <t>page 1/2</t>
  </si>
  <si>
    <r>
      <rPr>
        <rFont val="Calibri"/>
        <b/>
        <color theme="1"/>
        <sz val="14.0"/>
        <u/>
      </rPr>
      <t xml:space="preserve">BULLETIN OFFICIEL D'ENGAGEMENT
</t>
    </r>
    <r>
      <rPr>
        <rFont val="Calibri"/>
        <b/>
        <color theme="1"/>
        <sz val="14.0"/>
      </rPr>
      <t>POUR EPREUVES SUR ROUTE 2026</t>
    </r>
  </si>
  <si>
    <t>page 2/2</t>
  </si>
  <si>
    <t xml:space="preserve"> </t>
  </si>
  <si>
    <t>Le présent bulletin d'engagement est établi entre (l'Organisateur) :</t>
  </si>
  <si>
    <t>Epreuve :</t>
  </si>
  <si>
    <t xml:space="preserve">Classe : </t>
  </si>
  <si>
    <t>LA PICTO EN NOUVELLE-AQUITAINE</t>
  </si>
  <si>
    <t>1.1</t>
  </si>
  <si>
    <t>Entité organisatrice :</t>
  </si>
  <si>
    <t>Coureurs par équipe :</t>
  </si>
  <si>
    <t>POITOU-CHARENTES ANIMATION</t>
  </si>
  <si>
    <t>Catégorie :</t>
  </si>
  <si>
    <t>WE</t>
  </si>
  <si>
    <t>Pays :</t>
  </si>
  <si>
    <t>FRANCE</t>
  </si>
  <si>
    <t>Début (jj/mm/aa) :</t>
  </si>
  <si>
    <t>Date de début (jj/mm/aa) :</t>
  </si>
  <si>
    <t>Fin (jj/mm/aa) :</t>
  </si>
  <si>
    <t>Date de fin (jj/mm/aa) :</t>
  </si>
  <si>
    <t>Nom de l’Equipe :</t>
  </si>
  <si>
    <t>et d'autre part (l'Equipe) :</t>
  </si>
  <si>
    <t>Nationalité :</t>
  </si>
  <si>
    <t>Lanester Women Morbihan</t>
  </si>
  <si>
    <r>
      <rPr>
        <rFont val="Times New Roman"/>
        <b/>
        <color theme="1"/>
        <sz val="9.0"/>
      </rPr>
      <t>Coureurs t</t>
    </r>
    <r>
      <rPr>
        <rFont val="Calibri"/>
        <b/>
        <color theme="1"/>
        <sz val="9.0"/>
      </rPr>
      <t>itulaires*</t>
    </r>
  </si>
  <si>
    <t>Nom</t>
  </si>
  <si>
    <t>Prénom</t>
  </si>
  <si>
    <t>Nationalité
(trigramme)</t>
  </si>
  <si>
    <t>Date de naissance
(JJ/MM/AAAA)</t>
  </si>
  <si>
    <t>UCI ID
(11 chiffres)</t>
  </si>
  <si>
    <t>Responsable financier :</t>
  </si>
  <si>
    <t xml:space="preserve">ROYE Christophe </t>
  </si>
  <si>
    <t>(à remplir par l'Equipe)</t>
  </si>
  <si>
    <t>L'Organisateur et l'Equipe ont convenu ce qui suit :</t>
  </si>
  <si>
    <t>DE GUERDAVID</t>
  </si>
  <si>
    <t>Aurélie</t>
  </si>
  <si>
    <t>FRA</t>
  </si>
  <si>
    <t>FRAVALO</t>
  </si>
  <si>
    <t>Astrid</t>
  </si>
  <si>
    <t>MALAQUIN</t>
  </si>
  <si>
    <t>Suzanne</t>
  </si>
  <si>
    <t>MOAL</t>
  </si>
  <si>
    <t>Glawdys</t>
  </si>
  <si>
    <t>Conformément à l'art. 1.2.075, l'Organisateur verse à l'Equipe une indemnité d'un montant de :</t>
  </si>
  <si>
    <t>DAUMAS</t>
  </si>
  <si>
    <t>Noémie</t>
  </si>
  <si>
    <t>CORRABOEUF</t>
  </si>
  <si>
    <t>Léa</t>
  </si>
  <si>
    <t>Autres éléments éventuels convenus entre l'Organisateur et l'Equipe :</t>
  </si>
  <si>
    <t xml:space="preserve">MAHIEU </t>
  </si>
  <si>
    <t>Léonie</t>
  </si>
  <si>
    <t>     </t>
  </si>
  <si>
    <r>
      <rPr>
        <rFont val="Times New Roman"/>
        <b/>
        <color theme="1"/>
        <sz val="9.0"/>
      </rPr>
      <t>Coureurs r</t>
    </r>
    <r>
      <rPr>
        <rFont val="Calibri"/>
        <b/>
        <color theme="1"/>
        <sz val="9.0"/>
      </rPr>
      <t>emplaçants (max 50%)*</t>
    </r>
  </si>
  <si>
    <t>Tout paiement sera effectué au Responsable financier de l'Equipe conformément aux dispositions des articles 1.2.076 et 2.2.009.</t>
  </si>
  <si>
    <t>Directeur Sportif titulaire sur l’épreuve</t>
  </si>
  <si>
    <t>Le cas échéant, l'Equipe facturera l'Organisateur à l'adresse suivante (à remplir par l'Organisateur) :</t>
  </si>
  <si>
    <t>Tél. portable</t>
  </si>
  <si>
    <t>Email</t>
  </si>
  <si>
    <t>Entité de facturation :</t>
  </si>
  <si>
    <t>LE DOUAIRON</t>
  </si>
  <si>
    <t>Solène</t>
  </si>
  <si>
    <t>06 76 81 16 37</t>
  </si>
  <si>
    <t>ds.lanesterwomen@gmail.com</t>
  </si>
  <si>
    <t>Adresse :</t>
  </si>
  <si>
    <t>3 rue de l'Ancienne Poste</t>
  </si>
  <si>
    <t>Directeur(s) Sportif(s) adjoint(s) sur l’épreuve</t>
  </si>
  <si>
    <t>Code Postal :</t>
  </si>
  <si>
    <t>Ville :</t>
  </si>
  <si>
    <t xml:space="preserve">CHASSENEUIL DU POITOU		</t>
  </si>
  <si>
    <t>Royé</t>
  </si>
  <si>
    <t>Christophe</t>
  </si>
  <si>
    <t>06 50 95 89 19</t>
  </si>
  <si>
    <t>France</t>
  </si>
  <si>
    <t>L'Organisateur et l'Equipe s'engagent à respecter le Règlement UCI.</t>
  </si>
  <si>
    <t>Autres personnes sur l’épreuve (mécaniciens, assistants médicaux, etc.)</t>
  </si>
  <si>
    <t>Rôle</t>
  </si>
  <si>
    <r>
      <rPr>
        <rFont val="Calibri"/>
        <b/>
        <color theme="1"/>
        <sz val="10.0"/>
        <u/>
      </rPr>
      <t>Au moins 60 jours à l'avance</t>
    </r>
    <r>
      <rPr>
        <rFont val="Calibri"/>
        <color theme="1"/>
        <sz val="10.0"/>
      </rPr>
      <t xml:space="preserve">, l'Organisateur invite l'Equipe (s'il s'agit d'équipes nationales, régionales ou de club, l'Organisateur informe la Fédération Nationale de l'invité).
</t>
    </r>
    <r>
      <rPr>
        <rFont val="Calibri"/>
        <b/>
        <color theme="1"/>
        <sz val="10.0"/>
        <u/>
      </rPr>
      <t>Au moins 50 jours avant l'épreuve</t>
    </r>
    <r>
      <rPr>
        <rFont val="Calibri"/>
        <color theme="1"/>
        <sz val="10.0"/>
      </rPr>
      <t xml:space="preserve">, l'Equipe invitée fait savoir à l'Organisateur par écrit s'il désire participer à l'épreuve ou s'il décline l'invitation.
</t>
    </r>
    <r>
      <rPr>
        <rFont val="Calibri"/>
        <b/>
        <color theme="1"/>
        <sz val="10.0"/>
        <u/>
      </rPr>
      <t>Au moins 40 jours avant l'épreuve,</t>
    </r>
    <r>
      <rPr>
        <rFont val="Calibri"/>
        <color theme="1"/>
        <sz val="10.0"/>
      </rPr>
      <t xml:space="preserve"> l'Organisateur envoie à l'Equipe invitée le présent bulletin officiel d'engagement UCI (</t>
    </r>
    <r>
      <rPr>
        <rFont val="Calibri"/>
        <color theme="1"/>
        <sz val="10.0"/>
        <u/>
      </rPr>
      <t>complété et signé</t>
    </r>
    <r>
      <rPr>
        <rFont val="Calibri"/>
        <color theme="1"/>
        <sz val="10.0"/>
      </rPr>
      <t xml:space="preserve">).
</t>
    </r>
    <r>
      <rPr>
        <rFont val="Calibri"/>
        <b/>
        <color theme="1"/>
        <sz val="10.0"/>
        <u/>
      </rPr>
      <t>Au moins 20 jours avant l'épreuve,</t>
    </r>
    <r>
      <rPr>
        <rFont val="Calibri"/>
        <color theme="1"/>
        <sz val="10.0"/>
      </rPr>
      <t xml:space="preserve"> l'Equipe renvoie à l'Organisateur l'original du présent bulletin dûment complété (</t>
    </r>
    <r>
      <rPr>
        <rFont val="Calibri"/>
        <color theme="1"/>
        <sz val="10.0"/>
        <u/>
      </rPr>
      <t>page 1 signée et page 2 complétée</t>
    </r>
    <r>
      <rPr>
        <rFont val="Calibri"/>
        <color theme="1"/>
        <sz val="10.0"/>
      </rPr>
      <t xml:space="preserve">).
</t>
    </r>
    <r>
      <rPr>
        <rFont val="Calibri"/>
        <b/>
        <color theme="1"/>
        <sz val="10.0"/>
        <u/>
      </rPr>
      <t>72 heures avant l'heure du départ de l'épreuve,</t>
    </r>
    <r>
      <rPr>
        <rFont val="Calibri"/>
        <color theme="1"/>
        <sz val="10.0"/>
      </rPr>
      <t xml:space="preserve"> l'Equipe envoie à l'Organisateur le bulletin d'engagement comportant les noms des titulaires et des deux remplaçants (</t>
    </r>
    <r>
      <rPr>
        <rFont val="Calibri"/>
        <color theme="1"/>
        <sz val="10.0"/>
        <u/>
      </rPr>
      <t>page 2</t>
    </r>
    <r>
      <rPr>
        <rFont val="Calibri"/>
        <color theme="1"/>
        <sz val="10.0"/>
      </rPr>
      <t xml:space="preserve">).
</t>
    </r>
    <r>
      <rPr>
        <rFont val="Calibri"/>
        <b/>
        <color theme="1"/>
        <sz val="10.0"/>
        <u/>
      </rPr>
      <t>Au plus tard 15 minutes avant la réunion des directeurs sportifs,</t>
    </r>
    <r>
      <rPr>
        <rFont val="Calibri"/>
        <color theme="1"/>
        <sz val="10.0"/>
      </rPr>
      <t xml:space="preserve"> le directeur sportif de l'Equipe doit confirmer au collège des commissaires l'identité des coureurs partants en signant le bulletin d'engagement (</t>
    </r>
    <r>
      <rPr>
        <rFont val="Calibri"/>
        <color theme="1"/>
        <sz val="10.0"/>
        <u/>
      </rPr>
      <t>page 2</t>
    </r>
    <r>
      <rPr>
        <rFont val="Calibri"/>
        <color theme="1"/>
        <sz val="10.0"/>
      </rPr>
      <t xml:space="preserve">) - art. 1.2.090.
                                               </t>
    </r>
    <r>
      <rPr>
        <rFont val="Calibri"/>
        <color theme="1"/>
        <sz val="10.0"/>
        <u/>
      </rPr>
      <t>Attention : le non-respect des délais prescrits fait perdre ses droits à la partie qui les transgresse.</t>
    </r>
  </si>
  <si>
    <t xml:space="preserve">LE KER </t>
  </si>
  <si>
    <t>DIDIER</t>
  </si>
  <si>
    <t xml:space="preserve">SEBILLE </t>
  </si>
  <si>
    <t>ALAN</t>
  </si>
  <si>
    <t xml:space="preserve">LE GAD </t>
  </si>
  <si>
    <t xml:space="preserve">DIDEIR </t>
  </si>
  <si>
    <t>Date :</t>
  </si>
  <si>
    <t>Lieu :</t>
  </si>
  <si>
    <t xml:space="preserve">CHASSENEUIL DU POITOU </t>
  </si>
  <si>
    <t>LANESTER</t>
  </si>
  <si>
    <t xml:space="preserve">      </t>
  </si>
  <si>
    <r>
      <rPr>
        <rFont val="Calibri"/>
        <color theme="1"/>
        <sz val="9.0"/>
      </rPr>
      <t xml:space="preserve">Nom et prénom du signataire autorisé
</t>
    </r>
    <r>
      <rPr>
        <rFont val="Calibri"/>
        <b/>
        <color theme="1"/>
        <sz val="9.0"/>
      </rPr>
      <t>(responsable de l'Organisation) :</t>
    </r>
  </si>
  <si>
    <r>
      <rPr>
        <rFont val="Calibri"/>
        <color theme="1"/>
        <sz val="9.0"/>
      </rPr>
      <t xml:space="preserve">Nom et prénom du signataire autorisé
</t>
    </r>
    <r>
      <rPr>
        <rFont val="Calibri"/>
        <b/>
        <color theme="1"/>
        <sz val="9.0"/>
      </rPr>
      <t>(responsable administratif de l'Equipe) :</t>
    </r>
  </si>
  <si>
    <t>* rayer les noms des coureurs non-partants lors de la confirmation des partants.</t>
  </si>
  <si>
    <r>
      <rPr>
        <rFont val="Calibri"/>
        <color theme="1"/>
        <sz val="9.0"/>
      </rPr>
      <t>Signature du</t>
    </r>
    <r>
      <rPr>
        <rFont val="Calibri"/>
        <b/>
        <color theme="1"/>
        <sz val="9.0"/>
      </rPr>
      <t xml:space="preserve"> Directeur Sportif titulaire </t>
    </r>
    <r>
      <rPr>
        <rFont val="Calibri"/>
        <color theme="1"/>
        <sz val="9.0"/>
      </rPr>
      <t xml:space="preserve">responsable de l’Equipe sur l'épreuve </t>
    </r>
    <r>
      <rPr>
        <rFont val="Calibri"/>
        <b/>
        <color theme="1"/>
        <sz val="9.0"/>
        <u/>
      </rPr>
      <t>lors de la confirmation des partants :</t>
    </r>
  </si>
  <si>
    <t>PHILIPPE TURBAULT</t>
  </si>
  <si>
    <t>PT</t>
  </si>
  <si>
    <r>
      <rPr>
        <rFont val="Calibri"/>
        <color theme="1"/>
        <sz val="9.0"/>
      </rPr>
      <t xml:space="preserve">Nom et prénom </t>
    </r>
    <r>
      <rPr>
        <rFont val="Calibri"/>
        <b/>
        <color theme="1"/>
        <sz val="9.0"/>
      </rPr>
      <t>Directeur Sportif titulaire :</t>
    </r>
  </si>
  <si>
    <t xml:space="preserve">LE DOUAIRON SOLENE </t>
  </si>
  <si>
    <t>LE DOUAIRON SOLENE</t>
  </si>
  <si>
    <r>
      <rPr>
        <rFont val="Calibri"/>
        <color theme="1"/>
        <sz val="9.0"/>
      </rPr>
      <t>Le présent bulletin (</t>
    </r>
    <r>
      <rPr>
        <rFont val="Calibri"/>
        <color theme="1"/>
        <sz val="9.0"/>
        <u/>
      </rPr>
      <t>page 1</t>
    </r>
    <r>
      <rPr>
        <rFont val="Calibri"/>
        <color theme="1"/>
        <sz val="9.0"/>
      </rPr>
      <t xml:space="preserve">) doit être renvoyé à l’Organisateur rempli et signé
</t>
    </r>
    <r>
      <rPr>
        <rFont val="Calibri"/>
        <b/>
        <color theme="1"/>
        <sz val="9.0"/>
        <u/>
      </rPr>
      <t>au moins 20 jours avant l'épreuve</t>
    </r>
    <r>
      <rPr>
        <rFont val="Calibri"/>
        <color theme="1"/>
        <sz val="9.0"/>
      </rPr>
      <t xml:space="preserve"> (article 1.2.049 du Règlement UCI).</t>
    </r>
  </si>
  <si>
    <r>
      <rPr>
        <rFont val="Calibri"/>
        <color theme="1"/>
        <sz val="9.0"/>
      </rPr>
      <t>Le présent bulletin (</t>
    </r>
    <r>
      <rPr>
        <rFont val="Calibri"/>
        <color theme="1"/>
        <sz val="9.0"/>
        <u/>
      </rPr>
      <t>page 2</t>
    </r>
    <r>
      <rPr>
        <rFont val="Calibri"/>
        <color theme="1"/>
        <sz val="9.0"/>
      </rPr>
      <t xml:space="preserve">) doit être envoyé à l’organisateur dûment rempli </t>
    </r>
    <r>
      <rPr>
        <rFont val="Calibri"/>
        <b/>
        <color theme="1"/>
        <sz val="9.0"/>
        <u/>
      </rPr>
      <t>au moins 20 jours avant l'épreuve puis 72 heures avant l'épreuve</t>
    </r>
    <r>
      <rPr>
        <rFont val="Calibri"/>
        <color theme="1"/>
        <sz val="9.0"/>
      </rPr>
      <t xml:space="preserve"> (article 1.2.049). Le présent bulletin doit être </t>
    </r>
    <r>
      <rPr>
        <rFont val="Calibri"/>
        <b/>
        <color theme="1"/>
        <sz val="9.0"/>
        <u/>
      </rPr>
      <t>signé lors de la confirmation des partants</t>
    </r>
    <r>
      <rPr>
        <rFont val="Calibri"/>
        <color theme="1"/>
        <sz val="9.0"/>
      </rPr>
      <t xml:space="preserve"> par le Directeur Sportif titulaire, responsable de l'équipe.</t>
    </r>
  </si>
  <si>
    <t>2.UWT</t>
  </si>
  <si>
    <t>AFGHANISTAN</t>
  </si>
  <si>
    <t>AFG</t>
  </si>
  <si>
    <t>1.UWT</t>
  </si>
  <si>
    <t>ALBANIA</t>
  </si>
  <si>
    <t>ALB</t>
  </si>
  <si>
    <t>2.WWT</t>
  </si>
  <si>
    <t>ALGERIA</t>
  </si>
  <si>
    <t>ALG</t>
  </si>
  <si>
    <t>1.WWT</t>
  </si>
  <si>
    <t>ANDORRA</t>
  </si>
  <si>
    <t>AND</t>
  </si>
  <si>
    <t>2.Pro</t>
  </si>
  <si>
    <t>ANGOLA</t>
  </si>
  <si>
    <t>ANG</t>
  </si>
  <si>
    <t>1.Pro</t>
  </si>
  <si>
    <t>ANTIGUA AND BARBUDA</t>
  </si>
  <si>
    <t>ANT</t>
  </si>
  <si>
    <t>2.1</t>
  </si>
  <si>
    <t>ARGENTINA</t>
  </si>
  <si>
    <t>ARG</t>
  </si>
  <si>
    <t>ARMENIA</t>
  </si>
  <si>
    <t>ARM</t>
  </si>
  <si>
    <t>2.2</t>
  </si>
  <si>
    <t>ARUBA</t>
  </si>
  <si>
    <t>ARU</t>
  </si>
  <si>
    <t>1.2</t>
  </si>
  <si>
    <t>AUSTRALIA</t>
  </si>
  <si>
    <t>AUS</t>
  </si>
  <si>
    <t>2.2U</t>
  </si>
  <si>
    <t>AUSTRIA</t>
  </si>
  <si>
    <t>AUT</t>
  </si>
  <si>
    <t>1.2U</t>
  </si>
  <si>
    <t>AZERBAIJAN</t>
  </si>
  <si>
    <t>AZE</t>
  </si>
  <si>
    <t>2.Ncup</t>
  </si>
  <si>
    <t>BAHAMAS</t>
  </si>
  <si>
    <t>BAH</t>
  </si>
  <si>
    <t>1.Ncup</t>
  </si>
  <si>
    <t>BAHRAIN</t>
  </si>
  <si>
    <t>BRN</t>
  </si>
  <si>
    <t>JO</t>
  </si>
  <si>
    <t>BANGLADESH</t>
  </si>
  <si>
    <t>BAN</t>
  </si>
  <si>
    <t>CM</t>
  </si>
  <si>
    <t>BARBADOS</t>
  </si>
  <si>
    <t>BAR</t>
  </si>
  <si>
    <t>CC</t>
  </si>
  <si>
    <t>BELARUS</t>
  </si>
  <si>
    <t>BLR</t>
  </si>
  <si>
    <t>JR</t>
  </si>
  <si>
    <t>BELGIUM</t>
  </si>
  <si>
    <t>BEL</t>
  </si>
  <si>
    <t>CN</t>
  </si>
  <si>
    <t>BELIZE</t>
  </si>
  <si>
    <t>BIZ</t>
  </si>
  <si>
    <t>CRT</t>
  </si>
  <si>
    <t>BENIN</t>
  </si>
  <si>
    <t>BEN</t>
  </si>
  <si>
    <t>BERMUDA</t>
  </si>
  <si>
    <t>BER</t>
  </si>
  <si>
    <t>BOLIVARIAN REPUBLIC OF VENEZUELA</t>
  </si>
  <si>
    <t>VEN</t>
  </si>
  <si>
    <t>BOLIVIA</t>
  </si>
  <si>
    <t>BOL</t>
  </si>
  <si>
    <t>BOSNIA AND HERZEGOVINA</t>
  </si>
  <si>
    <t>BIH</t>
  </si>
  <si>
    <t>BOTSWANA</t>
  </si>
  <si>
    <t>BOT</t>
  </si>
  <si>
    <t>BRAZIL</t>
  </si>
  <si>
    <t>BRA</t>
  </si>
  <si>
    <t>BRUNEI DARUSSALAM</t>
  </si>
  <si>
    <t>BRU</t>
  </si>
  <si>
    <t>BULGARIA</t>
  </si>
  <si>
    <t>BUL</t>
  </si>
  <si>
    <t>BURKINA FASO</t>
  </si>
  <si>
    <t>BUR</t>
  </si>
  <si>
    <t>BURUNDI</t>
  </si>
  <si>
    <t>BDI</t>
  </si>
  <si>
    <t>CAMBODIA</t>
  </si>
  <si>
    <t>CAM</t>
  </si>
  <si>
    <t>CAMEROON</t>
  </si>
  <si>
    <t>CMR</t>
  </si>
  <si>
    <t>CANADA</t>
  </si>
  <si>
    <t>CAN</t>
  </si>
  <si>
    <t>CAYMAN ISLANDS</t>
  </si>
  <si>
    <t>CAY</t>
  </si>
  <si>
    <t>CENTRAL AFRICAN REPUBLIC</t>
  </si>
  <si>
    <t>CAF</t>
  </si>
  <si>
    <t>CHILE</t>
  </si>
  <si>
    <t>CHI</t>
  </si>
  <si>
    <t>CHINESE TAIPEI</t>
  </si>
  <si>
    <t>TPE</t>
  </si>
  <si>
    <t>COLOMBIA</t>
  </si>
  <si>
    <t>COL</t>
  </si>
  <si>
    <t>COMOROS</t>
  </si>
  <si>
    <t>COM</t>
  </si>
  <si>
    <t>CONGO</t>
  </si>
  <si>
    <t>CGO</t>
  </si>
  <si>
    <t>COSTA RICA</t>
  </si>
  <si>
    <t>CRC</t>
  </si>
  <si>
    <t>COTE D'IVOIRE</t>
  </si>
  <si>
    <t>CIV</t>
  </si>
  <si>
    <t>CROATIA</t>
  </si>
  <si>
    <t>CRO</t>
  </si>
  <si>
    <t>CUBA</t>
  </si>
  <si>
    <t>CUB</t>
  </si>
  <si>
    <t>CYPRUS</t>
  </si>
  <si>
    <t>CYP</t>
  </si>
  <si>
    <t>CZECH REPUBLIC</t>
  </si>
  <si>
    <t>CZE</t>
  </si>
  <si>
    <t>DEMOCRATIC PEOPLE'S REPUBLIC OF KOREA</t>
  </si>
  <si>
    <t>PRK</t>
  </si>
  <si>
    <t>DEMOCRATIC REPUBLIC OF THE CONGO</t>
  </si>
  <si>
    <t>COD</t>
  </si>
  <si>
    <t>DENMARK</t>
  </si>
  <si>
    <t>DEN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</si>
  <si>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</si>
  <si>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</si>
  <si>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</si>
  <si>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</si>
  <si>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</si>
  <si>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</si>
  <si>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</si>
  <si>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</si>
  <si>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</si>
  <si>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</si>
  <si>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</si>
  <si>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ESA</t>
  </si>
  <si>
    <t>ERITREA</t>
  </si>
  <si>
    <t>ERI</t>
  </si>
  <si>
    <t>ESTONIA</t>
  </si>
  <si>
    <t>EST</t>
  </si>
  <si>
    <t>ETHIOPIA</t>
  </si>
  <si>
    <t>ETH</t>
  </si>
  <si>
    <t>FIJI</t>
  </si>
  <si>
    <t>FIJ</t>
  </si>
  <si>
    <t>FINLAND</t>
  </si>
  <si>
    <t>FIN</t>
  </si>
  <si>
    <t>FORMER YUGOSLAV REPUBLIC OF MACEDONIA</t>
  </si>
  <si>
    <t>MKD</t>
  </si>
  <si>
    <t>GABON</t>
  </si>
  <si>
    <t>GAB</t>
  </si>
  <si>
    <t>GAMBIA</t>
  </si>
  <si>
    <t>GAM</t>
  </si>
  <si>
    <t>GEORGIA</t>
  </si>
  <si>
    <t>GEO</t>
  </si>
  <si>
    <t>GERMANY</t>
  </si>
  <si>
    <t>GER</t>
  </si>
  <si>
    <t>GHANA</t>
  </si>
  <si>
    <t>GHA</t>
  </si>
  <si>
    <t>GREAT BRITAIN</t>
  </si>
  <si>
    <t>GBR</t>
  </si>
  <si>
    <t>GREECE</t>
  </si>
  <si>
    <t>GRE</t>
  </si>
  <si>
    <t>GRENADA</t>
  </si>
  <si>
    <t>GRN</t>
  </si>
  <si>
    <t>GUAM</t>
  </si>
  <si>
    <t>GUM</t>
  </si>
  <si>
    <t>GUATEMALA</t>
  </si>
  <si>
    <t>GUA</t>
  </si>
  <si>
    <t>GUINEA</t>
  </si>
  <si>
    <t>GUI</t>
  </si>
  <si>
    <t>GUYANA</t>
  </si>
  <si>
    <t>GUY</t>
  </si>
  <si>
    <t>HAITI</t>
  </si>
  <si>
    <t>HAI</t>
  </si>
  <si>
    <t>HONDURAS</t>
  </si>
  <si>
    <t>HON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</si>
  <si>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</si>
  <si>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</si>
  <si>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</si>
  <si>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</si>
  <si>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</si>
  <si>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</si>
  <si>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</si>
  <si>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</si>
  <si>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</si>
  <si>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INA</t>
  </si>
  <si>
    <t>IRAQ</t>
  </si>
  <si>
    <t>IRQ</t>
  </si>
  <si>
    <t>IRELAND</t>
  </si>
  <si>
    <t>IRL</t>
  </si>
  <si>
    <t>ISLAMIC REPUBLIC OF IRAN</t>
  </si>
  <si>
    <t>IRI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</si>
  <si>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</si>
  <si>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</si>
  <si>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</si>
  <si>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</si>
  <si>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</si>
  <si>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</si>
  <si>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</si>
  <si>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</si>
  <si>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</si>
  <si>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</si>
  <si>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</si>
  <si>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</si>
  <si>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</si>
  <si>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</si>
  <si>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</t>
  </si>
  <si>
    <t>KOR</t>
  </si>
  <si>
    <t>KOSOVO</t>
  </si>
  <si>
    <t>KOS</t>
  </si>
  <si>
    <t>KUWAIT</t>
  </si>
  <si>
    <t>KUW</t>
  </si>
  <si>
    <t>KYRGYZSTAN</t>
  </si>
  <si>
    <t>KGZ</t>
  </si>
  <si>
    <t>LAO PEOPLE'S DEMOCRATIC REPUBLIC</t>
  </si>
  <si>
    <t>LAO</t>
  </si>
  <si>
    <t>LATVIA</t>
  </si>
  <si>
    <t>LAT</t>
  </si>
  <si>
    <t>LEBANON</t>
  </si>
  <si>
    <t>LBN</t>
  </si>
  <si>
    <t>LESOTHO</t>
  </si>
  <si>
    <t>LES</t>
  </si>
  <si>
    <t>LIBERIA</t>
  </si>
  <si>
    <t>LBR</t>
  </si>
  <si>
    <t>LIBYA</t>
  </si>
  <si>
    <t>LBA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</si>
  <si>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</si>
  <si>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</si>
  <si>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</si>
  <si>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</si>
  <si>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</si>
  <si>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</si>
  <si>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</si>
  <si>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</si>
  <si>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</si>
  <si>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MAD</t>
  </si>
  <si>
    <t>MALAWI</t>
  </si>
  <si>
    <t>MAW</t>
  </si>
  <si>
    <t>MALAYSIA</t>
  </si>
  <si>
    <t>MAS</t>
  </si>
  <si>
    <t>MALI</t>
  </si>
  <si>
    <t>MLI</t>
  </si>
  <si>
    <t>MALTA</t>
  </si>
  <si>
    <t>MLT</t>
  </si>
  <si>
    <t>MAURITANIA</t>
  </si>
  <si>
    <t>MTN</t>
  </si>
  <si>
    <t>MAURITIUS</t>
  </si>
  <si>
    <t>MRI</t>
  </si>
  <si>
    <t>MEXICO</t>
  </si>
  <si>
    <t>MEX</t>
  </si>
  <si>
    <t>MONACO</t>
  </si>
  <si>
    <t>MON</t>
  </si>
  <si>
    <t>MONGOLIA</t>
  </si>
  <si>
    <t>MGL</t>
  </si>
  <si>
    <t>MONTENEGRO</t>
  </si>
  <si>
    <t>MNE</t>
  </si>
  <si>
    <t>MOROCCO</t>
  </si>
  <si>
    <t>MAR</t>
  </si>
  <si>
    <t>MOZAMBIQUE</t>
  </si>
  <si>
    <t>MOZ</t>
  </si>
  <si>
    <t>MYANMAR</t>
  </si>
  <si>
    <t>MYA</t>
  </si>
  <si>
    <t>NAMIBIA</t>
  </si>
  <si>
    <t>NAM</t>
  </si>
  <si>
    <t>NEPAL</t>
  </si>
  <si>
    <t>NEP</t>
  </si>
  <si>
    <t>NETHERLANDS</t>
  </si>
  <si>
    <t>NED</t>
  </si>
  <si>
    <t>NEW ZEALAND</t>
  </si>
  <si>
    <t>NZL</t>
  </si>
  <si>
    <t>NICARAGUA</t>
  </si>
  <si>
    <t>NCA</t>
  </si>
  <si>
    <t>NIGER</t>
  </si>
  <si>
    <t>NIG</t>
  </si>
  <si>
    <t>NIGERIA</t>
  </si>
  <si>
    <t>NGR</t>
  </si>
  <si>
    <t>NORWAY</t>
  </si>
  <si>
    <t>NOR</t>
  </si>
  <si>
    <t>OMAN</t>
  </si>
  <si>
    <t>OMA</t>
  </si>
  <si>
    <t>PAKISTAN</t>
  </si>
  <si>
    <t>PAK</t>
  </si>
  <si>
    <t>PANAMA</t>
  </si>
  <si>
    <t>PAN</t>
  </si>
  <si>
    <t>PARAGUAY</t>
  </si>
  <si>
    <t>PAR</t>
  </si>
  <si>
    <t>PEOPLE'S REPUBLIC OF CHINA</t>
  </si>
  <si>
    <t>CHN</t>
  </si>
  <si>
    <t>PERU</t>
  </si>
  <si>
    <t>PER</t>
  </si>
  <si>
    <t>PHILIPPINES</t>
  </si>
  <si>
    <t>PHI</t>
  </si>
  <si>
    <t>POLAND</t>
  </si>
  <si>
    <t>POL</t>
  </si>
  <si>
    <t>PORTUGAL</t>
  </si>
  <si>
    <t>POR</t>
  </si>
  <si>
    <t>PUERTO RICO</t>
  </si>
  <si>
    <t>PUR</t>
  </si>
  <si>
    <t>QATAR</t>
  </si>
  <si>
    <t>QAT</t>
  </si>
  <si>
    <t>REPUBLIC OF MOLDOVA</t>
  </si>
  <si>
    <t>MDA</t>
  </si>
  <si>
    <t>ROMANIA</t>
  </si>
  <si>
    <t>ROU</t>
  </si>
  <si>
    <t>RUSSIAN FEDERATION</t>
  </si>
  <si>
    <t>RUS</t>
  </si>
  <si>
    <t>RWANDA</t>
  </si>
  <si>
    <t>RWA</t>
  </si>
  <si>
    <t>SAINT KITTS AND NEVIS</t>
  </si>
  <si>
    <t>SKN</t>
  </si>
  <si>
    <t>SAINT LUCIA</t>
  </si>
  <si>
    <t>LCA</t>
  </si>
  <si>
    <t>SAINT VINCENT AND THE GRENADINES</t>
  </si>
  <si>
    <t>VIN</t>
  </si>
  <si>
    <t>SAN MARINO</t>
  </si>
  <si>
    <t>SMR</t>
  </si>
  <si>
    <t>SAO TOME AND PRINCIPE</t>
  </si>
  <si>
    <t>STP</t>
  </si>
  <si>
    <t>SAUDI ARABIA</t>
  </si>
  <si>
    <t>KSA</t>
  </si>
  <si>
    <t>SENEGAL</t>
  </si>
  <si>
    <t>SEN</t>
  </si>
  <si>
    <t>SERBIA</t>
  </si>
  <si>
    <t>SRB</t>
  </si>
  <si>
    <t>SEYCHELLES</t>
  </si>
  <si>
    <t>SEY</t>
  </si>
  <si>
    <t>SIERRA LEONE</t>
  </si>
  <si>
    <t>SLE</t>
  </si>
  <si>
    <t>SINGAPORE</t>
  </si>
  <si>
    <t>SIN</t>
  </si>
  <si>
    <t>SLOVAKIA</t>
  </si>
  <si>
    <t>SVK</t>
  </si>
  <si>
    <t>SLOVENIA</t>
  </si>
  <si>
    <t>SLO</t>
  </si>
  <si>
    <t>SOMALIA</t>
  </si>
  <si>
    <t>SOM</t>
  </si>
  <si>
    <t>SOUTH AFRICA</t>
  </si>
  <si>
    <t>RSA</t>
  </si>
  <si>
    <t>SPAIN</t>
  </si>
  <si>
    <t>ESP</t>
  </si>
  <si>
    <t>SRI LANKA</t>
  </si>
  <si>
    <t>SRI</t>
  </si>
  <si>
    <t>SUDAN</t>
  </si>
  <si>
    <t>SUD</t>
  </si>
  <si>
    <t>SURINAME</t>
  </si>
  <si>
    <t>SUR</t>
  </si>
  <si>
    <t>SWAZILAND</t>
  </si>
  <si>
    <t>SWZ</t>
  </si>
  <si>
    <t>SWEDEN</t>
  </si>
  <si>
    <t>SWE</t>
  </si>
  <si>
    <t>SWITZERLAND</t>
  </si>
  <si>
    <t>SUI</t>
  </si>
  <si>
    <t>SYRIAN ARAB REPUBLIC</t>
  </si>
  <si>
    <t>SYR</t>
  </si>
  <si>
    <t>TAJIKISTAN</t>
  </si>
  <si>
    <t>TJK</t>
  </si>
  <si>
    <t>THAILAND</t>
  </si>
  <si>
    <t>THA</t>
  </si>
  <si>
    <t>TIMOR LESTE</t>
  </si>
  <si>
    <t>TLS</t>
  </si>
  <si>
    <t>TOGO</t>
  </si>
  <si>
    <t>TOG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</si>
  <si>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</si>
  <si>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</si>
  <si>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</si>
  <si>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</si>
  <si>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</si>
  <si>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</si>
  <si>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</si>
  <si>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</si>
  <si>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</si>
  <si>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</si>
  <si>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</si>
  <si>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</si>
  <si>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</si>
  <si>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UAE</t>
  </si>
  <si>
    <t>UNITED REPUBLIC OF TANZANIA</t>
  </si>
  <si>
    <t>TAN</t>
  </si>
  <si>
    <t>UNITED STATES OF AMERICA</t>
  </si>
  <si>
    <t>USA</t>
  </si>
  <si>
    <t>URUGUAY</t>
  </si>
  <si>
    <t>URU</t>
  </si>
  <si>
    <t>UZBEKISTAN</t>
  </si>
  <si>
    <t>UZB</t>
  </si>
  <si>
    <t>VANUATU</t>
  </si>
  <si>
    <t>VAN</t>
  </si>
  <si>
    <t>VIETNAM</t>
  </si>
  <si>
    <t>VIE</t>
  </si>
  <si>
    <t>VIRGIN ISLANDS</t>
  </si>
  <si>
    <t>ISV</t>
  </si>
  <si>
    <t>YEMEN</t>
  </si>
  <si>
    <t>YEM</t>
  </si>
  <si>
    <t>ZAMBIA</t>
  </si>
  <si>
    <t>ZAM</t>
  </si>
  <si>
    <t>ZIMBABWE</t>
  </si>
  <si>
    <t>ZIM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</si>
</sst>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\/mm\/yyyy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8.0"/>
      <color rgb="FFFF0000"/>
      <name val="Calibri"/>
    </font>
    <font>
      <b/>
      <sz val="36.0"/>
      <color rgb="FFFF0000"/>
      <name val="Calibri"/>
    </font>
    <font>
      <b/>
      <u/>
      <sz val="11.0"/>
      <color theme="1"/>
      <name val="Calibri"/>
    </font>
    <font>
      <sz val="9.0"/>
      <color theme="1"/>
      <name val="Calibri"/>
    </font>
    <font/>
    <font>
      <b/>
      <u/>
      <sz val="11.0"/>
      <color theme="1"/>
      <name val="Calibri"/>
    </font>
    <font>
      <b/>
      <sz val="9.0"/>
      <color theme="1"/>
      <name val="Calibri"/>
    </font>
    <font>
      <color theme="1"/>
      <name val="Calibri"/>
      <scheme val="minor"/>
    </font>
    <font>
      <b/>
      <u/>
      <sz val="11.0"/>
      <color theme="1"/>
      <name val="Calibri"/>
    </font>
    <font>
      <b/>
      <sz val="8.0"/>
      <color theme="1"/>
      <name val="Calibri"/>
    </font>
    <font>
      <b/>
      <sz val="11.0"/>
      <color theme="1"/>
      <name val="Calibri"/>
    </font>
    <font>
      <sz val="9.0"/>
      <color theme="1"/>
      <name val="Arial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0.0"/>
      <color theme="1"/>
      <name val="Calibri"/>
    </font>
    <font>
      <b/>
      <i/>
      <sz val="10.0"/>
      <color theme="1"/>
      <name val="Calibri"/>
    </font>
    <font>
      <sz val="8.0"/>
      <color theme="1"/>
      <name val="Arial"/>
    </font>
    <font>
      <sz val="8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DDEBF7"/>
        <bgColor rgb="FFDDEBF7"/>
      </patternFill>
    </fill>
  </fills>
  <borders count="67">
    <border/>
    <border>
      <bottom style="hair">
        <color rgb="FF000000"/>
      </bottom>
    </border>
    <border>
      <left/>
      <top/>
      <bottom style="hair">
        <color rgb="FF000000"/>
      </bottom>
    </border>
    <border>
      <top/>
      <bottom style="hair">
        <color rgb="FF000000"/>
      </bottom>
    </border>
    <border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/>
      <top style="hair">
        <color rgb="FF000000"/>
      </top>
      <bottom style="hair">
        <color rgb="FF000000"/>
      </bottom>
    </border>
    <border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</border>
    <border>
      <right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hair">
        <color rgb="FF000000"/>
      </top>
    </border>
    <border>
      <top style="hair">
        <color rgb="FF000000"/>
      </top>
    </border>
    <border>
      <right/>
      <top style="hair">
        <color rgb="FF000000"/>
      </top>
    </border>
    <border>
      <left/>
      <bottom style="hair">
        <color rgb="FF000000"/>
      </bottom>
    </border>
    <border>
      <right/>
      <bottom style="hair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6" numFmtId="0" xfId="0" applyAlignment="1" applyFont="1">
      <alignment horizontal="right" vertical="center"/>
    </xf>
    <xf borderId="1" fillId="0" fontId="1" numFmtId="0" xfId="0" applyAlignment="1" applyBorder="1" applyFont="1">
      <alignment horizontal="left"/>
    </xf>
    <xf borderId="1" fillId="0" fontId="7" numFmtId="0" xfId="0" applyBorder="1" applyFont="1"/>
    <xf borderId="1" fillId="0" fontId="1" numFmtId="0" xfId="0" applyBorder="1" applyFont="1"/>
    <xf borderId="2" fillId="2" fontId="1" numFmtId="0" xfId="0" applyAlignment="1" applyBorder="1" applyFill="1" applyFont="1">
      <alignment horizontal="left"/>
    </xf>
    <xf borderId="3" fillId="0" fontId="7" numFmtId="0" xfId="0" applyBorder="1" applyFont="1"/>
    <xf borderId="4" fillId="0" fontId="7" numFmtId="0" xfId="0" applyBorder="1" applyFont="1"/>
    <xf borderId="5" fillId="2" fontId="1" numFmtId="0" xfId="0" applyBorder="1" applyFont="1"/>
    <xf borderId="0" fillId="0" fontId="6" numFmtId="0" xfId="0" applyAlignment="1" applyFont="1">
      <alignment horizontal="right" shrinkToFit="0" wrapText="1"/>
    </xf>
    <xf borderId="6" fillId="0" fontId="1" numFmtId="0" xfId="0" applyAlignment="1" applyBorder="1" applyFont="1">
      <alignment horizontal="left"/>
    </xf>
    <xf borderId="6" fillId="0" fontId="7" numFmtId="0" xfId="0" applyBorder="1" applyFont="1"/>
    <xf borderId="7" fillId="2" fontId="1" numFmtId="0" xfId="0" applyAlignment="1" applyBorder="1" applyFont="1">
      <alignment horizontal="left"/>
    </xf>
    <xf borderId="8" fillId="0" fontId="7" numFmtId="0" xfId="0" applyBorder="1" applyFont="1"/>
    <xf borderId="5" fillId="2" fontId="1" numFmtId="16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6" fillId="0" fontId="1" numFmtId="164" xfId="0" applyAlignment="1" applyBorder="1" applyFont="1" applyNumberFormat="1">
      <alignment horizontal="left"/>
    </xf>
    <xf borderId="0" fillId="0" fontId="8" numFmtId="0" xfId="0" applyAlignment="1" applyFont="1">
      <alignment horizontal="left" shrinkToFit="0" wrapText="1"/>
    </xf>
    <xf borderId="0" fillId="0" fontId="9" numFmtId="0" xfId="0" applyAlignment="1" applyFont="1">
      <alignment horizontal="left"/>
    </xf>
    <xf borderId="0" fillId="0" fontId="1" numFmtId="0" xfId="0" applyAlignment="1" applyFont="1">
      <alignment horizontal="right"/>
    </xf>
    <xf borderId="9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left" readingOrder="0"/>
    </xf>
    <xf borderId="0" fillId="0" fontId="6" numFmtId="0" xfId="0" applyAlignment="1" applyFont="1">
      <alignment horizontal="left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9" numFmtId="0" xfId="0" applyAlignment="1" applyBorder="1" applyFont="1">
      <alignment horizontal="center" shrinkToFit="0" vertical="center" wrapText="1"/>
    </xf>
    <xf borderId="18" fillId="2" fontId="6" numFmtId="0" xfId="0" applyAlignment="1" applyBorder="1" applyFont="1">
      <alignment readingOrder="0" shrinkToFit="0" vertical="bottom" wrapText="1"/>
    </xf>
    <xf borderId="19" fillId="2" fontId="6" numFmtId="0" xfId="0" applyAlignment="1" applyBorder="1" applyFont="1">
      <alignment readingOrder="0" shrinkToFit="0" vertical="bottom" wrapText="1"/>
    </xf>
    <xf borderId="19" fillId="2" fontId="6" numFmtId="0" xfId="0" applyAlignment="1" applyBorder="1" applyFont="1">
      <alignment horizontal="center" readingOrder="0" shrinkToFit="0" vertical="bottom" wrapText="1"/>
    </xf>
    <xf borderId="19" fillId="2" fontId="6" numFmtId="165" xfId="0" applyAlignment="1" applyBorder="1" applyFont="1" applyNumberFormat="1">
      <alignment horizontal="center" readingOrder="0" shrinkToFit="0" vertical="bottom" wrapText="1"/>
    </xf>
    <xf borderId="20" fillId="2" fontId="6" numFmtId="0" xfId="0" applyAlignment="1" applyBorder="1" applyFont="1">
      <alignment horizontal="center" readingOrder="0" shrinkToFit="0" vertical="bottom" wrapText="1"/>
    </xf>
    <xf borderId="21" fillId="0" fontId="9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left"/>
    </xf>
    <xf borderId="22" fillId="2" fontId="6" numFmtId="0" xfId="0" applyAlignment="1" applyBorder="1" applyFont="1">
      <alignment readingOrder="0" shrinkToFit="0" vertical="bottom" wrapText="1"/>
    </xf>
    <xf borderId="23" fillId="2" fontId="6" numFmtId="0" xfId="0" applyAlignment="1" applyBorder="1" applyFont="1">
      <alignment readingOrder="0" shrinkToFit="0" vertical="bottom" wrapText="1"/>
    </xf>
    <xf borderId="23" fillId="2" fontId="6" numFmtId="0" xfId="0" applyAlignment="1" applyBorder="1" applyFont="1">
      <alignment horizontal="center" readingOrder="0" shrinkToFit="0" vertical="bottom" wrapText="1"/>
    </xf>
    <xf borderId="23" fillId="2" fontId="6" numFmtId="165" xfId="0" applyAlignment="1" applyBorder="1" applyFont="1" applyNumberFormat="1">
      <alignment horizontal="center" readingOrder="0" shrinkToFit="0" vertical="bottom" wrapText="1"/>
    </xf>
    <xf borderId="24" fillId="2" fontId="6" numFmtId="0" xfId="0" applyAlignment="1" applyBorder="1" applyFont="1">
      <alignment horizontal="center" readingOrder="0" shrinkToFit="0" vertical="bottom" wrapText="1"/>
    </xf>
    <xf borderId="0" fillId="0" fontId="10" numFmtId="0" xfId="0" applyFont="1"/>
    <xf borderId="5" fillId="2" fontId="1" numFmtId="49" xfId="0" applyBorder="1" applyFont="1" applyNumberFormat="1"/>
    <xf borderId="18" fillId="2" fontId="6" numFmtId="0" xfId="0" applyAlignment="1" applyBorder="1" applyFont="1">
      <alignment readingOrder="0" shrinkToFit="0" wrapText="1"/>
    </xf>
    <xf borderId="19" fillId="2" fontId="6" numFmtId="0" xfId="0" applyAlignment="1" applyBorder="1" applyFont="1">
      <alignment readingOrder="0" shrinkToFit="0" wrapText="1"/>
    </xf>
    <xf borderId="19" fillId="2" fontId="6" numFmtId="0" xfId="0" applyAlignment="1" applyBorder="1" applyFont="1">
      <alignment horizontal="center" readingOrder="0" shrinkToFit="0" wrapText="1"/>
    </xf>
    <xf borderId="19" fillId="2" fontId="6" numFmtId="165" xfId="0" applyAlignment="1" applyBorder="1" applyFont="1" applyNumberFormat="1">
      <alignment horizontal="center" readingOrder="0" shrinkToFit="0" wrapText="1"/>
    </xf>
    <xf borderId="20" fillId="2" fontId="6" numFmtId="0" xfId="0" applyAlignment="1" applyBorder="1" applyFont="1">
      <alignment horizontal="center" readingOrder="0" shrinkToFit="0" wrapText="1"/>
    </xf>
    <xf borderId="0" fillId="0" fontId="11" numFmtId="0" xfId="0" applyFont="1"/>
    <xf borderId="18" fillId="2" fontId="6" numFmtId="0" xfId="0" applyAlignment="1" applyBorder="1" applyFont="1">
      <alignment readingOrder="0" shrinkToFit="0" vertical="center" wrapText="1"/>
    </xf>
    <xf borderId="19" fillId="2" fontId="6" numFmtId="0" xfId="0" applyAlignment="1" applyBorder="1" applyFont="1">
      <alignment readingOrder="0" shrinkToFit="0" vertical="center" wrapText="1"/>
    </xf>
    <xf borderId="19" fillId="2" fontId="6" numFmtId="0" xfId="0" applyAlignment="1" applyBorder="1" applyFont="1">
      <alignment horizontal="center" readingOrder="0" shrinkToFit="0" vertical="center" wrapText="1"/>
    </xf>
    <xf borderId="19" fillId="2" fontId="6" numFmtId="165" xfId="0" applyAlignment="1" applyBorder="1" applyFont="1" applyNumberFormat="1">
      <alignment horizontal="center" readingOrder="0" shrinkToFit="0" vertical="center" wrapText="1"/>
    </xf>
    <xf borderId="20" fillId="2" fontId="6" numFmtId="0" xfId="0" applyAlignment="1" applyBorder="1" applyFont="1">
      <alignment horizontal="center" readingOrder="0" shrinkToFit="0" vertical="center" wrapText="1"/>
    </xf>
    <xf borderId="25" fillId="2" fontId="1" numFmtId="0" xfId="0" applyAlignment="1" applyBorder="1" applyFont="1">
      <alignment horizontal="left" shrinkToFit="0" vertical="top" wrapText="1"/>
    </xf>
    <xf borderId="26" fillId="0" fontId="7" numFmtId="0" xfId="0" applyBorder="1" applyFont="1"/>
    <xf borderId="27" fillId="0" fontId="7" numFmtId="0" xfId="0" applyBorder="1" applyFont="1"/>
    <xf borderId="28" fillId="0" fontId="9" numFmtId="0" xfId="0" applyAlignment="1" applyBorder="1" applyFont="1">
      <alignment horizontal="center" shrinkToFit="0" vertical="center" wrapText="1"/>
    </xf>
    <xf borderId="29" fillId="2" fontId="6" numFmtId="0" xfId="0" applyAlignment="1" applyBorder="1" applyFont="1">
      <alignment shrinkToFit="0" vertical="center" wrapText="1"/>
    </xf>
    <xf borderId="30" fillId="2" fontId="6" numFmtId="0" xfId="0" applyAlignment="1" applyBorder="1" applyFont="1">
      <alignment shrinkToFit="0" vertical="center" wrapText="1"/>
    </xf>
    <xf borderId="30" fillId="2" fontId="6" numFmtId="0" xfId="0" applyAlignment="1" applyBorder="1" applyFont="1">
      <alignment horizontal="center" shrinkToFit="0" vertical="center" wrapText="1"/>
    </xf>
    <xf borderId="30" fillId="2" fontId="6" numFmtId="165" xfId="0" applyAlignment="1" applyBorder="1" applyFont="1" applyNumberFormat="1">
      <alignment horizontal="center" shrinkToFit="0" vertical="center" wrapText="1"/>
    </xf>
    <xf borderId="31" fillId="2" fontId="6" numFmtId="0" xfId="0" applyAlignment="1" applyBorder="1" applyFont="1">
      <alignment horizontal="center" shrinkToFit="0" vertical="center" wrapText="1"/>
    </xf>
    <xf borderId="32" fillId="0" fontId="7" numFmtId="0" xfId="0" applyBorder="1" applyFont="1"/>
    <xf borderId="33" fillId="0" fontId="7" numFmtId="0" xfId="0" applyBorder="1" applyFont="1"/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34" fillId="0" fontId="9" numFmtId="0" xfId="0" applyAlignment="1" applyBorder="1" applyFont="1">
      <alignment horizontal="center" shrinkToFit="0" vertical="center" wrapText="1"/>
    </xf>
    <xf borderId="22" fillId="2" fontId="6" numFmtId="0" xfId="0" applyAlignment="1" applyBorder="1" applyFont="1">
      <alignment shrinkToFit="0" vertical="center" wrapText="1"/>
    </xf>
    <xf borderId="23" fillId="2" fontId="6" numFmtId="0" xfId="0" applyAlignment="1" applyBorder="1" applyFont="1">
      <alignment shrinkToFit="0" vertical="center" wrapText="1"/>
    </xf>
    <xf borderId="23" fillId="2" fontId="6" numFmtId="0" xfId="0" applyAlignment="1" applyBorder="1" applyFont="1">
      <alignment horizontal="center" shrinkToFit="0" vertical="center" wrapText="1"/>
    </xf>
    <xf borderId="23" fillId="2" fontId="6" numFmtId="165" xfId="0" applyAlignment="1" applyBorder="1" applyFont="1" applyNumberFormat="1">
      <alignment horizontal="center" shrinkToFit="0" vertical="center" wrapText="1"/>
    </xf>
    <xf borderId="24" fillId="2" fontId="6" numFmtId="0" xfId="0" applyAlignment="1" applyBorder="1" applyFont="1">
      <alignment horizontal="center" shrinkToFit="0" vertical="center" wrapText="1"/>
    </xf>
    <xf borderId="18" fillId="2" fontId="6" numFmtId="0" xfId="0" applyAlignment="1" applyBorder="1" applyFont="1">
      <alignment shrinkToFit="0" vertical="center" wrapText="1"/>
    </xf>
    <xf borderId="19" fillId="2" fontId="6" numFmtId="0" xfId="0" applyAlignment="1" applyBorder="1" applyFont="1">
      <alignment shrinkToFit="0" vertical="center" wrapText="1"/>
    </xf>
    <xf borderId="19" fillId="2" fontId="6" numFmtId="0" xfId="0" applyAlignment="1" applyBorder="1" applyFont="1">
      <alignment horizontal="center" shrinkToFit="0" vertical="center" wrapText="1"/>
    </xf>
    <xf borderId="19" fillId="2" fontId="6" numFmtId="165" xfId="0" applyAlignment="1" applyBorder="1" applyFont="1" applyNumberFormat="1">
      <alignment horizontal="center" shrinkToFit="0" vertical="center" wrapText="1"/>
    </xf>
    <xf borderId="20" fillId="2" fontId="6" numFmtId="0" xfId="0" applyAlignment="1" applyBorder="1" applyFont="1">
      <alignment horizontal="center" shrinkToFit="0" vertical="center" wrapText="1"/>
    </xf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0" fillId="0" fontId="1" numFmtId="0" xfId="0" applyAlignment="1" applyFont="1">
      <alignment vertical="center"/>
    </xf>
    <xf borderId="38" fillId="2" fontId="6" numFmtId="0" xfId="0" applyAlignment="1" applyBorder="1" applyFont="1">
      <alignment readingOrder="0" shrinkToFit="0" wrapText="1"/>
    </xf>
    <xf borderId="39" fillId="2" fontId="6" numFmtId="0" xfId="0" applyAlignment="1" applyBorder="1" applyFont="1">
      <alignment readingOrder="0" shrinkToFit="0" wrapText="1"/>
    </xf>
    <xf borderId="39" fillId="2" fontId="6" numFmtId="0" xfId="0" applyAlignment="1" applyBorder="1" applyFont="1">
      <alignment horizontal="center" readingOrder="0" shrinkToFit="0" wrapText="1"/>
    </xf>
    <xf borderId="19" fillId="2" fontId="6" numFmtId="0" xfId="0" applyAlignment="1" applyBorder="1" applyFont="1">
      <alignment horizontal="center" readingOrder="0" vertical="bottom"/>
    </xf>
    <xf borderId="19" fillId="3" fontId="14" numFmtId="49" xfId="0" applyAlignment="1" applyBorder="1" applyFill="1" applyFont="1" applyNumberFormat="1">
      <alignment horizontal="center" readingOrder="0" vertical="bottom"/>
    </xf>
    <xf borderId="19" fillId="3" fontId="15" numFmtId="0" xfId="0" applyAlignment="1" applyBorder="1" applyFont="1">
      <alignment horizontal="center" vertical="bottom"/>
    </xf>
    <xf borderId="40" fillId="2" fontId="1" numFmtId="0" xfId="0" applyAlignment="1" applyBorder="1" applyFont="1">
      <alignment horizontal="left"/>
    </xf>
    <xf borderId="41" fillId="0" fontId="7" numFmtId="0" xfId="0" applyBorder="1" applyFont="1"/>
    <xf borderId="42" fillId="0" fontId="7" numFmtId="0" xfId="0" applyBorder="1" applyFont="1"/>
    <xf borderId="43" fillId="0" fontId="7" numFmtId="0" xfId="0" applyBorder="1" applyFont="1"/>
    <xf borderId="44" fillId="0" fontId="7" numFmtId="0" xfId="0" applyBorder="1" applyFont="1"/>
    <xf borderId="38" fillId="2" fontId="6" numFmtId="0" xfId="0" applyAlignment="1" applyBorder="1" applyFont="1">
      <alignment readingOrder="0" shrinkToFit="0" vertical="center" wrapText="1"/>
    </xf>
    <xf borderId="39" fillId="2" fontId="6" numFmtId="0" xfId="0" applyAlignment="1" applyBorder="1" applyFont="1">
      <alignment readingOrder="0" shrinkToFit="0" vertical="center" wrapText="1"/>
    </xf>
    <xf borderId="39" fillId="2" fontId="6" numFmtId="0" xfId="0" applyAlignment="1" applyBorder="1" applyFont="1">
      <alignment horizontal="center" readingOrder="0" shrinkToFit="0" vertical="center" wrapText="1"/>
    </xf>
    <xf borderId="45" fillId="2" fontId="16" numFmtId="0" xfId="0" applyAlignment="1" applyBorder="1" applyFont="1">
      <alignment shrinkToFit="0" vertical="center" wrapText="1"/>
    </xf>
    <xf borderId="31" fillId="2" fontId="17" numFmtId="0" xfId="0" applyAlignment="1" applyBorder="1" applyFont="1">
      <alignment shrinkToFit="0" vertical="center" wrapText="1"/>
    </xf>
    <xf borderId="0" fillId="0" fontId="13" numFmtId="0" xfId="0" applyAlignment="1" applyFont="1">
      <alignment horizontal="left"/>
    </xf>
    <xf borderId="46" fillId="0" fontId="7" numFmtId="0" xfId="0" applyBorder="1" applyFont="1"/>
    <xf borderId="0" fillId="0" fontId="13" numFmtId="0" xfId="0" applyFont="1"/>
    <xf borderId="47" fillId="0" fontId="9" numFmtId="0" xfId="0" applyAlignment="1" applyBorder="1" applyFont="1">
      <alignment horizontal="center" shrinkToFit="0" vertical="center" wrapText="1"/>
    </xf>
    <xf borderId="48" fillId="0" fontId="7" numFmtId="0" xfId="0" applyBorder="1" applyFont="1"/>
    <xf borderId="0" fillId="0" fontId="18" numFmtId="0" xfId="0" applyAlignment="1" applyFont="1">
      <alignment horizontal="left" shrinkToFit="0" vertical="top" wrapText="1"/>
    </xf>
    <xf borderId="49" fillId="0" fontId="7" numFmtId="0" xfId="0" applyBorder="1" applyFont="1"/>
    <xf borderId="50" fillId="0" fontId="7" numFmtId="0" xfId="0" applyBorder="1" applyFont="1"/>
    <xf borderId="39" fillId="2" fontId="6" numFmtId="0" xfId="0" applyAlignment="1" applyBorder="1" applyFont="1">
      <alignment horizontal="center" shrinkToFit="0" vertical="center" wrapText="1"/>
    </xf>
    <xf borderId="51" fillId="2" fontId="6" numFmtId="0" xfId="0" applyAlignment="1" applyBorder="1" applyFont="1">
      <alignment horizontal="left" shrinkToFit="0" vertical="center" wrapText="1"/>
    </xf>
    <xf borderId="52" fillId="0" fontId="7" numFmtId="0" xfId="0" applyBorder="1" applyFont="1"/>
    <xf borderId="53" fillId="2" fontId="6" numFmtId="0" xfId="0" applyAlignment="1" applyBorder="1" applyFont="1">
      <alignment horizontal="left" shrinkToFit="0" vertical="center" wrapText="1"/>
    </xf>
    <xf borderId="54" fillId="0" fontId="7" numFmtId="0" xfId="0" applyBorder="1" applyFont="1"/>
    <xf borderId="0" fillId="0" fontId="6" numFmtId="0" xfId="0" applyAlignment="1" applyFont="1">
      <alignment horizontal="left" vertical="center"/>
    </xf>
    <xf borderId="0" fillId="0" fontId="18" numFmtId="0" xfId="0" applyAlignment="1" applyFont="1">
      <alignment shrinkToFit="0" vertical="top" wrapText="1"/>
    </xf>
    <xf borderId="0" fillId="0" fontId="6" numFmtId="0" xfId="0" applyFont="1"/>
    <xf borderId="5" fillId="2" fontId="1" numFmtId="164" xfId="0" applyAlignment="1" applyBorder="1" applyFont="1" applyNumberFormat="1">
      <alignment horizontal="left" readingOrder="0"/>
    </xf>
    <xf borderId="55" fillId="2" fontId="6" numFmtId="0" xfId="0" applyAlignment="1" applyBorder="1" applyFont="1">
      <alignment horizontal="left" shrinkToFit="0" vertical="center" wrapText="1"/>
    </xf>
    <xf borderId="56" fillId="0" fontId="7" numFmtId="0" xfId="0" applyBorder="1" applyFont="1"/>
    <xf borderId="5" fillId="2" fontId="1" numFmtId="0" xfId="0" applyAlignment="1" applyBorder="1" applyFont="1">
      <alignment readingOrder="0"/>
    </xf>
    <xf borderId="0" fillId="0" fontId="6" numFmtId="0" xfId="0" applyAlignment="1" applyFont="1">
      <alignment horizontal="left" shrinkToFit="0" wrapText="1"/>
    </xf>
    <xf borderId="0" fillId="0" fontId="19" numFmtId="0" xfId="0" applyAlignment="1" applyFont="1">
      <alignment horizontal="left" shrinkToFit="0" wrapText="1"/>
    </xf>
    <xf borderId="57" fillId="0" fontId="7" numFmtId="0" xfId="0" applyBorder="1" applyFont="1"/>
    <xf borderId="58" fillId="0" fontId="6" numFmtId="0" xfId="0" applyAlignment="1" applyBorder="1" applyFont="1">
      <alignment horizontal="center" shrinkToFit="0" vertical="center" wrapText="1"/>
    </xf>
    <xf borderId="59" fillId="0" fontId="7" numFmtId="0" xfId="0" applyBorder="1" applyFont="1"/>
    <xf borderId="58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vertical="top"/>
    </xf>
    <xf borderId="58" fillId="0" fontId="1" numFmtId="0" xfId="0" applyAlignment="1" applyBorder="1" applyFont="1">
      <alignment horizontal="center" readingOrder="0"/>
    </xf>
    <xf borderId="60" fillId="0" fontId="7" numFmtId="0" xfId="0" applyBorder="1" applyFont="1"/>
    <xf borderId="61" fillId="0" fontId="7" numFmtId="0" xfId="0" applyBorder="1" applyFont="1"/>
    <xf borderId="62" fillId="0" fontId="7" numFmtId="0" xfId="0" applyBorder="1" applyFont="1"/>
    <xf borderId="63" fillId="0" fontId="7" numFmtId="0" xfId="0" applyBorder="1" applyFont="1"/>
    <xf borderId="2" fillId="2" fontId="1" numFmtId="0" xfId="0" applyAlignment="1" applyBorder="1" applyFont="1">
      <alignment horizontal="center" readingOrder="0"/>
    </xf>
    <xf borderId="64" fillId="0" fontId="6" numFmtId="0" xfId="0" applyAlignment="1" applyBorder="1" applyFont="1">
      <alignment horizontal="center" shrinkToFit="0" vertical="top" wrapText="1"/>
    </xf>
    <xf borderId="64" fillId="0" fontId="7" numFmtId="0" xfId="0" applyBorder="1" applyFont="1"/>
    <xf borderId="64" fillId="0" fontId="6" numFmtId="0" xfId="0" applyAlignment="1" applyBorder="1" applyFont="1">
      <alignment horizontal="center" shrinkToFit="0" vertical="center" wrapText="1"/>
    </xf>
    <xf borderId="65" fillId="0" fontId="20" numFmtId="0" xfId="0" applyAlignment="1" applyBorder="1" applyFont="1">
      <alignment horizontal="left" shrinkToFit="0" wrapText="1"/>
    </xf>
    <xf borderId="65" fillId="0" fontId="21" numFmtId="0" xfId="0" applyAlignment="1" applyBorder="1" applyFont="1">
      <alignment horizontal="left" shrinkToFit="0" wrapText="1"/>
    </xf>
    <xf borderId="66" fillId="0" fontId="20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7858125" cy="3619500"/>
    <xdr:sp>
      <xdr:nvSpPr>
        <xdr:cNvPr id="3" name="Shape 3"/>
        <xdr:cNvSpPr/>
      </xdr:nvSpPr>
      <xdr:spPr>
        <a:xfrm>
          <a:off x="1426463" y="1979775"/>
          <a:ext cx="7839075" cy="3600450"/>
        </a:xfrm>
        <a:prstGeom prst="rect">
          <a:avLst/>
        </a:prstGeom>
        <a:noFill/>
        <a:ln cap="flat" cmpd="sng" w="127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28575</xdr:colOff>
      <xdr:row>1</xdr:row>
      <xdr:rowOff>0</xdr:rowOff>
    </xdr:from>
    <xdr:ext cx="221932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1</xdr:row>
      <xdr:rowOff>0</xdr:rowOff>
    </xdr:from>
    <xdr:ext cx="221932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nthony.uldry@hotmail.f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2.43"/>
    <col customWidth="1" min="3" max="3" width="22.86"/>
    <col customWidth="1" min="4" max="4" width="11.71"/>
    <col customWidth="1" min="5" max="5" width="14.29"/>
    <col customWidth="1" min="6" max="6" width="15.71"/>
    <col customWidth="1" min="7" max="7" width="24.43"/>
    <col customWidth="1" hidden="1" min="8" max="8" width="5.71"/>
    <col customWidth="1" hidden="1" min="9" max="9" width="6.14"/>
    <col customWidth="1" min="10" max="10" width="3.71"/>
    <col customWidth="1" min="11" max="11" width="22.43"/>
    <col customWidth="1" min="12" max="12" width="22.86"/>
    <col customWidth="1" min="13" max="13" width="9.71"/>
    <col customWidth="1" min="14" max="14" width="14.29"/>
    <col customWidth="1" min="15" max="15" width="15.71"/>
    <col customWidth="1" min="16" max="16" width="28.86"/>
    <col customWidth="1" min="17" max="26" width="9.14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2" t="s">
        <v>0</v>
      </c>
      <c r="G2" s="3" t="s">
        <v>1</v>
      </c>
      <c r="H2" s="1"/>
      <c r="I2" s="1"/>
      <c r="J2" s="1"/>
      <c r="K2" s="1"/>
      <c r="L2" s="2" t="s">
        <v>2</v>
      </c>
      <c r="P2" s="3" t="s">
        <v>3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H3" s="1"/>
      <c r="I3" s="1"/>
      <c r="J3" s="1"/>
      <c r="K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4" t="s">
        <v>4</v>
      </c>
      <c r="C4" s="5"/>
      <c r="D4" s="5"/>
      <c r="E4" s="5"/>
      <c r="F4" s="5"/>
      <c r="H4" s="1"/>
      <c r="I4" s="1">
        <f>YEAR(NOW())-15</f>
        <v>2011</v>
      </c>
      <c r="J4" s="4" t="s">
        <v>4</v>
      </c>
      <c r="L4" s="6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4"/>
      <c r="C5" s="5"/>
      <c r="D5" s="5"/>
      <c r="E5" s="5"/>
      <c r="F5" s="5"/>
      <c r="H5" s="1"/>
      <c r="I5" s="1"/>
      <c r="J5" s="4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7" t="s">
        <v>5</v>
      </c>
      <c r="C6" s="5"/>
      <c r="D6" s="5"/>
      <c r="E6" s="5"/>
      <c r="F6" s="5"/>
      <c r="G6" s="1"/>
      <c r="H6" s="1"/>
      <c r="I6" s="8"/>
      <c r="J6" s="1"/>
      <c r="K6" s="9" t="s">
        <v>6</v>
      </c>
      <c r="L6" s="10" t="str">
        <f t="shared" ref="L6:L8" si="1">IF(C7="","",C7)</f>
        <v>LA PICTO EN NOUVELLE-AQUITAINE</v>
      </c>
      <c r="M6" s="11"/>
      <c r="N6" s="11"/>
      <c r="O6" s="9" t="s">
        <v>7</v>
      </c>
      <c r="P6" s="12" t="str">
        <f>IF(G7="","",G7)</f>
        <v>1.1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9" t="s">
        <v>6</v>
      </c>
      <c r="C7" s="13" t="s">
        <v>8</v>
      </c>
      <c r="D7" s="14"/>
      <c r="E7" s="15"/>
      <c r="F7" s="9" t="s">
        <v>7</v>
      </c>
      <c r="G7" s="16" t="s">
        <v>9</v>
      </c>
      <c r="H7" s="8"/>
      <c r="I7" s="8"/>
      <c r="J7" s="1"/>
      <c r="K7" s="9" t="s">
        <v>10</v>
      </c>
      <c r="L7" s="10" t="str">
        <f t="shared" si="1"/>
        <v>POITOU-CHARENTES ANIMATION</v>
      </c>
      <c r="M7" s="11"/>
      <c r="N7" s="11"/>
      <c r="O7" s="17" t="s">
        <v>11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9" t="s">
        <v>10</v>
      </c>
      <c r="C8" s="13" t="s">
        <v>12</v>
      </c>
      <c r="D8" s="14"/>
      <c r="E8" s="15"/>
      <c r="F8" s="9" t="s">
        <v>13</v>
      </c>
      <c r="G8" s="16" t="s">
        <v>14</v>
      </c>
      <c r="H8" s="8"/>
      <c r="I8" s="8"/>
      <c r="J8" s="1"/>
      <c r="K8" s="9" t="s">
        <v>15</v>
      </c>
      <c r="L8" s="18" t="str">
        <f t="shared" si="1"/>
        <v>FRANCE</v>
      </c>
      <c r="M8" s="19"/>
      <c r="N8" s="19"/>
      <c r="P8" s="10">
        <f>IF(C17="","",C17)</f>
        <v>6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9" t="s">
        <v>15</v>
      </c>
      <c r="C9" s="20" t="s">
        <v>16</v>
      </c>
      <c r="D9" s="19"/>
      <c r="E9" s="21"/>
      <c r="F9" s="9" t="s">
        <v>17</v>
      </c>
      <c r="G9" s="22">
        <v>46222.0</v>
      </c>
      <c r="H9" s="8"/>
      <c r="I9" s="8"/>
      <c r="J9" s="1"/>
      <c r="K9" s="9" t="s">
        <v>18</v>
      </c>
      <c r="L9" s="23">
        <f t="shared" ref="L9:L10" si="2">IF(G9="","",G9)</f>
        <v>46222</v>
      </c>
      <c r="M9" s="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9" t="s">
        <v>19</v>
      </c>
      <c r="G10" s="22">
        <v>46222.0</v>
      </c>
      <c r="H10" s="8"/>
      <c r="I10" s="8"/>
      <c r="J10" s="1"/>
      <c r="K10" s="9" t="s">
        <v>20</v>
      </c>
      <c r="L10" s="24">
        <f t="shared" si="2"/>
        <v>46222</v>
      </c>
      <c r="M10" s="1"/>
      <c r="N10" s="9" t="s">
        <v>21</v>
      </c>
      <c r="O10" s="13" t="str">
        <f>C12</f>
        <v>Lanester Women Morbihan</v>
      </c>
      <c r="P10" s="1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"/>
      <c r="B11" s="25" t="s">
        <v>22</v>
      </c>
      <c r="D11" s="1"/>
      <c r="E11" s="1"/>
      <c r="F11" s="1"/>
      <c r="G11" s="1"/>
      <c r="H11" s="8"/>
      <c r="I11" s="8"/>
      <c r="J11" s="8"/>
      <c r="K11" s="8"/>
      <c r="L11" s="8"/>
      <c r="M11" s="8"/>
      <c r="N11" s="9" t="s">
        <v>23</v>
      </c>
      <c r="O11" s="20" t="s">
        <v>16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 t="s">
        <v>21</v>
      </c>
      <c r="C12" s="13" t="s">
        <v>24</v>
      </c>
      <c r="D12" s="14"/>
      <c r="E12" s="15"/>
      <c r="F12" s="1"/>
      <c r="G12" s="1"/>
      <c r="H12" s="1"/>
      <c r="I12" s="1"/>
      <c r="J12" s="1"/>
      <c r="K12" s="26" t="s">
        <v>25</v>
      </c>
      <c r="P12" s="27" t="str">
        <f>IF(O11="","",VLOOKUP(O11,bdd!B:C,2,FALSE))</f>
        <v>FRA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.0" customHeight="1">
      <c r="A13" s="1"/>
      <c r="B13" s="1"/>
      <c r="C13" s="1"/>
      <c r="D13" s="1"/>
      <c r="E13" s="1"/>
      <c r="F13" s="1"/>
      <c r="G13" s="1"/>
      <c r="H13" s="1"/>
      <c r="I13" s="1"/>
      <c r="J13" s="28"/>
      <c r="K13" s="29" t="s">
        <v>26</v>
      </c>
      <c r="L13" s="30" t="s">
        <v>27</v>
      </c>
      <c r="M13" s="30" t="s">
        <v>28</v>
      </c>
      <c r="N13" s="30" t="s">
        <v>29</v>
      </c>
      <c r="O13" s="31" t="s">
        <v>30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9" t="s">
        <v>31</v>
      </c>
      <c r="C14" s="32" t="s">
        <v>32</v>
      </c>
      <c r="D14" s="14"/>
      <c r="E14" s="15"/>
      <c r="F14" s="33" t="s">
        <v>33</v>
      </c>
      <c r="G14" s="1"/>
      <c r="H14" s="1"/>
      <c r="I14" s="1"/>
      <c r="J14" s="34"/>
      <c r="K14" s="35"/>
      <c r="L14" s="36"/>
      <c r="M14" s="36"/>
      <c r="N14" s="36"/>
      <c r="O14" s="3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7" t="s">
        <v>34</v>
      </c>
      <c r="H15" s="1"/>
      <c r="I15" s="1"/>
      <c r="J15" s="38">
        <v>1.0</v>
      </c>
      <c r="K15" s="39" t="s">
        <v>35</v>
      </c>
      <c r="L15" s="40" t="s">
        <v>36</v>
      </c>
      <c r="M15" s="41" t="s">
        <v>37</v>
      </c>
      <c r="N15" s="42">
        <v>38754.0</v>
      </c>
      <c r="O15" s="43">
        <v>1.0069897675E10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H16" s="1"/>
      <c r="I16" s="1"/>
      <c r="J16" s="44">
        <v>2.0</v>
      </c>
      <c r="K16" s="39" t="s">
        <v>38</v>
      </c>
      <c r="L16" s="40" t="s">
        <v>39</v>
      </c>
      <c r="M16" s="41" t="s">
        <v>37</v>
      </c>
      <c r="N16" s="42">
        <v>37088.0</v>
      </c>
      <c r="O16" s="43">
        <v>1.0122399331E10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7" t="s">
        <v>11</v>
      </c>
      <c r="C17" s="45">
        <v>6.0</v>
      </c>
      <c r="D17" s="1"/>
      <c r="E17" s="1"/>
      <c r="F17" s="1"/>
      <c r="G17" s="1"/>
      <c r="H17" s="1"/>
      <c r="I17" s="1"/>
      <c r="J17" s="44">
        <v>3.0</v>
      </c>
      <c r="K17" s="46" t="s">
        <v>40</v>
      </c>
      <c r="L17" s="47" t="s">
        <v>41</v>
      </c>
      <c r="M17" s="48" t="s">
        <v>37</v>
      </c>
      <c r="N17" s="49">
        <v>37541.0</v>
      </c>
      <c r="O17" s="50">
        <v>1.0067209159E10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44">
        <v>4.0</v>
      </c>
      <c r="K18" s="39" t="s">
        <v>42</v>
      </c>
      <c r="L18" s="40" t="s">
        <v>43</v>
      </c>
      <c r="M18" s="41" t="s">
        <v>37</v>
      </c>
      <c r="N18" s="42">
        <v>36996.0</v>
      </c>
      <c r="O18" s="43">
        <v>1.0067780449E10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1" t="s">
        <v>44</v>
      </c>
      <c r="G19" s="52"/>
      <c r="H19" s="1"/>
      <c r="I19" s="1"/>
      <c r="J19" s="44">
        <v>5.0</v>
      </c>
      <c r="K19" s="53" t="s">
        <v>45</v>
      </c>
      <c r="L19" s="54" t="s">
        <v>46</v>
      </c>
      <c r="M19" s="55" t="s">
        <v>37</v>
      </c>
      <c r="N19" s="56">
        <v>37836.0</v>
      </c>
      <c r="O19" s="57">
        <v>1.0070750669E10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44">
        <v>6.0</v>
      </c>
      <c r="K20" s="39" t="s">
        <v>47</v>
      </c>
      <c r="L20" s="40" t="s">
        <v>48</v>
      </c>
      <c r="M20" s="41" t="s">
        <v>37</v>
      </c>
      <c r="N20" s="42">
        <v>39027.0</v>
      </c>
      <c r="O20" s="43">
        <v>1.0066657471E10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8" t="s">
        <v>49</v>
      </c>
      <c r="C21" s="1"/>
      <c r="D21" s="1"/>
      <c r="E21" s="1"/>
      <c r="F21" s="1"/>
      <c r="G21" s="1"/>
      <c r="H21" s="1"/>
      <c r="I21" s="1"/>
      <c r="J21" s="44">
        <v>7.0</v>
      </c>
      <c r="K21" s="59" t="s">
        <v>50</v>
      </c>
      <c r="L21" s="60" t="s">
        <v>51</v>
      </c>
      <c r="M21" s="61" t="s">
        <v>37</v>
      </c>
      <c r="N21" s="62">
        <v>38884.0</v>
      </c>
      <c r="O21" s="63">
        <v>1.0067209159E10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64"/>
      <c r="C22" s="65"/>
      <c r="D22" s="65"/>
      <c r="E22" s="65"/>
      <c r="F22" s="65"/>
      <c r="G22" s="66"/>
      <c r="H22" s="1"/>
      <c r="I22" s="1"/>
      <c r="J22" s="67">
        <v>8.0</v>
      </c>
      <c r="K22" s="68" t="s">
        <v>52</v>
      </c>
      <c r="L22" s="69" t="s">
        <v>52</v>
      </c>
      <c r="M22" s="70"/>
      <c r="N22" s="71"/>
      <c r="O22" s="72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7.5" customHeight="1">
      <c r="A23" s="1"/>
      <c r="B23" s="73"/>
      <c r="G23" s="74"/>
      <c r="H23" s="1"/>
      <c r="I23" s="1"/>
      <c r="J23" s="75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3"/>
      <c r="G24" s="74"/>
      <c r="H24" s="1"/>
      <c r="I24" s="1"/>
      <c r="J24" s="76"/>
      <c r="K24" s="26" t="s">
        <v>53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3"/>
      <c r="G25" s="74"/>
      <c r="H25" s="1"/>
      <c r="I25" s="1"/>
      <c r="J25" s="77">
        <v>1.0</v>
      </c>
      <c r="K25" s="78" t="s">
        <v>52</v>
      </c>
      <c r="L25" s="79" t="s">
        <v>52</v>
      </c>
      <c r="M25" s="80"/>
      <c r="N25" s="81"/>
      <c r="O25" s="8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73"/>
      <c r="G26" s="74"/>
      <c r="H26" s="1"/>
      <c r="I26" s="1"/>
      <c r="J26" s="44">
        <v>2.0</v>
      </c>
      <c r="K26" s="83" t="s">
        <v>52</v>
      </c>
      <c r="L26" s="84" t="s">
        <v>52</v>
      </c>
      <c r="M26" s="85"/>
      <c r="N26" s="86"/>
      <c r="O26" s="87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88"/>
      <c r="C27" s="89"/>
      <c r="D27" s="89"/>
      <c r="E27" s="89"/>
      <c r="F27" s="89"/>
      <c r="G27" s="90"/>
      <c r="H27" s="1"/>
      <c r="I27" s="1"/>
      <c r="J27" s="44">
        <v>3.0</v>
      </c>
      <c r="K27" s="83" t="s">
        <v>52</v>
      </c>
      <c r="L27" s="84" t="s">
        <v>52</v>
      </c>
      <c r="M27" s="85"/>
      <c r="N27" s="86"/>
      <c r="O27" s="87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51" t="s">
        <v>54</v>
      </c>
      <c r="C28" s="1"/>
      <c r="D28" s="1"/>
      <c r="E28" s="1"/>
      <c r="F28" s="1"/>
      <c r="G28" s="1"/>
      <c r="H28" s="1"/>
      <c r="I28" s="1"/>
      <c r="J28" s="67">
        <v>4.0</v>
      </c>
      <c r="K28" s="68" t="s">
        <v>52</v>
      </c>
      <c r="L28" s="13"/>
      <c r="M28" s="14"/>
      <c r="N28" s="15"/>
      <c r="O28" s="72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75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76"/>
      <c r="K30" s="26" t="s">
        <v>55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91" t="s">
        <v>56</v>
      </c>
      <c r="C31" s="1"/>
      <c r="D31" s="1"/>
      <c r="E31" s="1"/>
      <c r="F31" s="1"/>
      <c r="G31" s="1"/>
      <c r="H31" s="1"/>
      <c r="I31" s="1"/>
      <c r="J31" s="28"/>
      <c r="K31" s="30" t="s">
        <v>26</v>
      </c>
      <c r="L31" s="30" t="s">
        <v>27</v>
      </c>
      <c r="M31" s="30" t="s">
        <v>28</v>
      </c>
      <c r="N31" s="31" t="s">
        <v>30</v>
      </c>
      <c r="O31" s="30" t="s">
        <v>57</v>
      </c>
      <c r="P31" s="31" t="s">
        <v>58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0.5" customHeight="1">
      <c r="A32" s="1"/>
      <c r="B32" s="1"/>
      <c r="C32" s="1"/>
      <c r="D32" s="1"/>
      <c r="E32" s="1"/>
      <c r="F32" s="1"/>
      <c r="G32" s="1"/>
      <c r="H32" s="1"/>
      <c r="I32" s="1"/>
      <c r="J32" s="34"/>
      <c r="K32" s="36"/>
      <c r="L32" s="36"/>
      <c r="M32" s="36"/>
      <c r="N32" s="37"/>
      <c r="O32" s="36"/>
      <c r="P32" s="37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9" t="s">
        <v>59</v>
      </c>
      <c r="C33" s="13" t="s">
        <v>12</v>
      </c>
      <c r="D33" s="14"/>
      <c r="E33" s="15"/>
      <c r="F33" s="1"/>
      <c r="G33" s="1"/>
      <c r="H33" s="1"/>
      <c r="I33" s="1"/>
      <c r="J33" s="38">
        <v>1.0</v>
      </c>
      <c r="K33" s="92" t="s">
        <v>60</v>
      </c>
      <c r="L33" s="93" t="s">
        <v>61</v>
      </c>
      <c r="M33" s="94" t="s">
        <v>37</v>
      </c>
      <c r="N33" s="95">
        <v>1.0026219787E10</v>
      </c>
      <c r="O33" s="96" t="s">
        <v>62</v>
      </c>
      <c r="P33" s="97" t="s">
        <v>63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7.5" customHeight="1">
      <c r="A34" s="1"/>
      <c r="B34" s="1"/>
      <c r="C34" s="1"/>
      <c r="D34" s="1"/>
      <c r="E34" s="1"/>
      <c r="F34" s="1"/>
      <c r="G34" s="1"/>
      <c r="H34" s="1"/>
      <c r="I34" s="1"/>
      <c r="J34" s="75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9" t="s">
        <v>64</v>
      </c>
      <c r="C35" s="13" t="s">
        <v>65</v>
      </c>
      <c r="D35" s="14"/>
      <c r="E35" s="15"/>
      <c r="F35" s="1"/>
      <c r="G35" s="1"/>
      <c r="H35" s="1"/>
      <c r="I35" s="1"/>
      <c r="J35" s="76"/>
      <c r="K35" s="26" t="s">
        <v>66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0.5" customHeight="1">
      <c r="A36" s="1"/>
      <c r="B36" s="9" t="s">
        <v>64</v>
      </c>
      <c r="C36" s="98"/>
      <c r="D36" s="99"/>
      <c r="E36" s="100"/>
      <c r="F36" s="1"/>
      <c r="G36" s="1"/>
      <c r="H36" s="1"/>
      <c r="I36" s="1"/>
      <c r="J36" s="28"/>
      <c r="K36" s="30" t="s">
        <v>26</v>
      </c>
      <c r="L36" s="30" t="s">
        <v>27</v>
      </c>
      <c r="M36" s="30" t="s">
        <v>28</v>
      </c>
      <c r="N36" s="31" t="s">
        <v>30</v>
      </c>
      <c r="O36" s="30" t="s">
        <v>57</v>
      </c>
      <c r="P36" s="31" t="s">
        <v>58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0.5" customHeight="1">
      <c r="A37" s="1"/>
      <c r="C37" s="101"/>
      <c r="D37" s="11"/>
      <c r="E37" s="102"/>
      <c r="F37" s="1"/>
      <c r="G37" s="1"/>
      <c r="H37" s="1"/>
      <c r="I37" s="1"/>
      <c r="J37" s="34"/>
      <c r="K37" s="36"/>
      <c r="L37" s="36"/>
      <c r="M37" s="36"/>
      <c r="N37" s="37"/>
      <c r="O37" s="36"/>
      <c r="P37" s="37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9" t="s">
        <v>67</v>
      </c>
      <c r="C38" s="45">
        <v>86360.0</v>
      </c>
      <c r="D38" s="9" t="s">
        <v>68</v>
      </c>
      <c r="E38" s="13" t="s">
        <v>69</v>
      </c>
      <c r="F38" s="14"/>
      <c r="G38" s="15"/>
      <c r="H38" s="1"/>
      <c r="I38" s="1"/>
      <c r="J38" s="38">
        <v>1.0</v>
      </c>
      <c r="K38" s="103" t="s">
        <v>70</v>
      </c>
      <c r="L38" s="104" t="s">
        <v>71</v>
      </c>
      <c r="M38" s="105" t="s">
        <v>37</v>
      </c>
      <c r="N38" s="105">
        <v>1.0072922055E10</v>
      </c>
      <c r="O38" s="104" t="s">
        <v>72</v>
      </c>
      <c r="P38" s="106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9" t="s">
        <v>15</v>
      </c>
      <c r="E39" s="13" t="s">
        <v>73</v>
      </c>
      <c r="F39" s="14"/>
      <c r="G39" s="15"/>
      <c r="H39" s="1"/>
      <c r="I39" s="1"/>
      <c r="J39" s="67">
        <v>2.0</v>
      </c>
      <c r="K39" s="68"/>
      <c r="L39" s="69"/>
      <c r="M39" s="70"/>
      <c r="N39" s="70"/>
      <c r="O39" s="69"/>
      <c r="P39" s="107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7.5" customHeight="1">
      <c r="A40" s="1"/>
      <c r="B40" s="108" t="s">
        <v>74</v>
      </c>
      <c r="H40" s="1"/>
      <c r="I40" s="1"/>
      <c r="J40" s="75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09"/>
      <c r="C41" s="109"/>
      <c r="D41" s="109"/>
      <c r="E41" s="109"/>
      <c r="F41" s="109"/>
      <c r="G41" s="109"/>
      <c r="H41" s="1"/>
      <c r="I41" s="1"/>
      <c r="J41" s="76"/>
      <c r="K41" s="26" t="s">
        <v>75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0.5" customHeight="1">
      <c r="A42" s="1"/>
      <c r="B42" s="110"/>
      <c r="C42" s="110"/>
      <c r="D42" s="110"/>
      <c r="E42" s="110"/>
      <c r="F42" s="110"/>
      <c r="G42" s="110"/>
      <c r="H42" s="1"/>
      <c r="I42" s="1"/>
      <c r="J42" s="28"/>
      <c r="K42" s="29" t="s">
        <v>26</v>
      </c>
      <c r="L42" s="30" t="s">
        <v>27</v>
      </c>
      <c r="M42" s="30" t="s">
        <v>28</v>
      </c>
      <c r="N42" s="31" t="s">
        <v>30</v>
      </c>
      <c r="O42" s="111" t="s">
        <v>76</v>
      </c>
      <c r="P42" s="112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0.5" customHeight="1">
      <c r="A43" s="1"/>
      <c r="B43" s="113" t="s">
        <v>77</v>
      </c>
      <c r="H43" s="1"/>
      <c r="I43" s="1"/>
      <c r="J43" s="34"/>
      <c r="K43" s="35"/>
      <c r="L43" s="36"/>
      <c r="M43" s="36"/>
      <c r="N43" s="37"/>
      <c r="O43" s="114"/>
      <c r="P43" s="11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H44" s="1"/>
      <c r="I44" s="1"/>
      <c r="J44" s="44">
        <v>1.0</v>
      </c>
      <c r="K44" s="103" t="s">
        <v>78</v>
      </c>
      <c r="L44" s="104" t="s">
        <v>79</v>
      </c>
      <c r="M44" s="116"/>
      <c r="N44" s="116"/>
      <c r="O44" s="117"/>
      <c r="P44" s="11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H45" s="1"/>
      <c r="I45" s="1"/>
      <c r="J45" s="44">
        <v>2.0</v>
      </c>
      <c r="K45" s="59" t="s">
        <v>80</v>
      </c>
      <c r="L45" s="60" t="s">
        <v>81</v>
      </c>
      <c r="M45" s="85"/>
      <c r="N45" s="85"/>
      <c r="O45" s="119"/>
      <c r="P45" s="120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H46" s="1"/>
      <c r="I46" s="1"/>
      <c r="J46" s="44">
        <v>3.0</v>
      </c>
      <c r="K46" s="59" t="s">
        <v>82</v>
      </c>
      <c r="L46" s="60" t="s">
        <v>83</v>
      </c>
      <c r="M46" s="85"/>
      <c r="N46" s="85"/>
      <c r="O46" s="119"/>
      <c r="P46" s="120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H47" s="1"/>
      <c r="I47" s="1"/>
      <c r="J47" s="44">
        <v>4.0</v>
      </c>
      <c r="K47" s="83" t="s">
        <v>52</v>
      </c>
      <c r="L47" s="84" t="s">
        <v>52</v>
      </c>
      <c r="M47" s="85"/>
      <c r="N47" s="85"/>
      <c r="O47" s="119"/>
      <c r="P47" s="120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H48" s="1"/>
      <c r="I48" s="1"/>
      <c r="J48" s="44">
        <v>5.0</v>
      </c>
      <c r="K48" s="83" t="s">
        <v>52</v>
      </c>
      <c r="L48" s="84" t="s">
        <v>52</v>
      </c>
      <c r="M48" s="85"/>
      <c r="N48" s="85"/>
      <c r="O48" s="119"/>
      <c r="P48" s="120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H49" s="1"/>
      <c r="I49" s="1"/>
      <c r="J49" s="44">
        <v>6.0</v>
      </c>
      <c r="K49" s="83" t="s">
        <v>52</v>
      </c>
      <c r="L49" s="84" t="s">
        <v>52</v>
      </c>
      <c r="M49" s="85"/>
      <c r="N49" s="85"/>
      <c r="O49" s="119" t="s">
        <v>52</v>
      </c>
      <c r="P49" s="120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H50" s="1"/>
      <c r="I50" s="1"/>
      <c r="J50" s="44">
        <v>7.0</v>
      </c>
      <c r="K50" s="83" t="s">
        <v>52</v>
      </c>
      <c r="L50" s="84" t="s">
        <v>52</v>
      </c>
      <c r="M50" s="85"/>
      <c r="N50" s="85"/>
      <c r="O50" s="119" t="s">
        <v>52</v>
      </c>
      <c r="P50" s="120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H51" s="1"/>
      <c r="I51" s="1"/>
      <c r="J51" s="44">
        <v>8.0</v>
      </c>
      <c r="K51" s="83" t="s">
        <v>52</v>
      </c>
      <c r="L51" s="84" t="s">
        <v>52</v>
      </c>
      <c r="M51" s="85"/>
      <c r="N51" s="85"/>
      <c r="O51" s="119" t="s">
        <v>52</v>
      </c>
      <c r="P51" s="120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H52" s="1"/>
      <c r="I52" s="1"/>
      <c r="J52" s="44">
        <v>9.0</v>
      </c>
      <c r="K52" s="83" t="s">
        <v>52</v>
      </c>
      <c r="L52" s="84" t="s">
        <v>52</v>
      </c>
      <c r="M52" s="85"/>
      <c r="N52" s="85"/>
      <c r="O52" s="119" t="s">
        <v>52</v>
      </c>
      <c r="P52" s="120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H53" s="1"/>
      <c r="I53" s="1"/>
      <c r="J53" s="44">
        <v>10.0</v>
      </c>
      <c r="K53" s="83" t="s">
        <v>52</v>
      </c>
      <c r="L53" s="84" t="s">
        <v>52</v>
      </c>
      <c r="M53" s="85"/>
      <c r="N53" s="85"/>
      <c r="O53" s="119" t="s">
        <v>52</v>
      </c>
      <c r="P53" s="120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H54" s="1"/>
      <c r="I54" s="1"/>
      <c r="J54" s="44">
        <v>11.0</v>
      </c>
      <c r="K54" s="83" t="s">
        <v>52</v>
      </c>
      <c r="L54" s="84" t="s">
        <v>52</v>
      </c>
      <c r="M54" s="85"/>
      <c r="N54" s="85"/>
      <c r="O54" s="119" t="s">
        <v>52</v>
      </c>
      <c r="P54" s="120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H55" s="1"/>
      <c r="I55" s="1"/>
      <c r="J55" s="44">
        <v>12.0</v>
      </c>
      <c r="K55" s="83" t="s">
        <v>52</v>
      </c>
      <c r="L55" s="84" t="s">
        <v>52</v>
      </c>
      <c r="M55" s="85"/>
      <c r="N55" s="85"/>
      <c r="O55" s="119" t="s">
        <v>52</v>
      </c>
      <c r="P55" s="120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H56" s="1"/>
      <c r="I56" s="1"/>
      <c r="J56" s="44">
        <v>13.0</v>
      </c>
      <c r="K56" s="83" t="s">
        <v>52</v>
      </c>
      <c r="L56" s="84" t="s">
        <v>52</v>
      </c>
      <c r="M56" s="85"/>
      <c r="N56" s="85"/>
      <c r="O56" s="119" t="s">
        <v>52</v>
      </c>
      <c r="P56" s="120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H57" s="1"/>
      <c r="I57" s="1"/>
      <c r="J57" s="44">
        <v>14.0</v>
      </c>
      <c r="K57" s="83" t="s">
        <v>52</v>
      </c>
      <c r="L57" s="84" t="s">
        <v>52</v>
      </c>
      <c r="M57" s="85"/>
      <c r="N57" s="85"/>
      <c r="O57" s="119" t="s">
        <v>52</v>
      </c>
      <c r="P57" s="120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H58" s="1"/>
      <c r="I58" s="1"/>
      <c r="J58" s="44">
        <v>15.0</v>
      </c>
      <c r="K58" s="83" t="s">
        <v>52</v>
      </c>
      <c r="L58" s="84" t="s">
        <v>52</v>
      </c>
      <c r="M58" s="85"/>
      <c r="N58" s="85"/>
      <c r="O58" s="119" t="s">
        <v>52</v>
      </c>
      <c r="P58" s="120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21"/>
      <c r="H59" s="1"/>
      <c r="I59" s="1"/>
      <c r="J59" s="44">
        <v>16.0</v>
      </c>
      <c r="K59" s="83" t="s">
        <v>52</v>
      </c>
      <c r="L59" s="84" t="s">
        <v>52</v>
      </c>
      <c r="M59" s="85"/>
      <c r="N59" s="85"/>
      <c r="O59" s="119" t="s">
        <v>52</v>
      </c>
      <c r="P59" s="120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H60" s="1"/>
      <c r="I60" s="1"/>
      <c r="J60" s="67">
        <v>17.0</v>
      </c>
      <c r="K60" s="83" t="s">
        <v>52</v>
      </c>
      <c r="L60" s="84" t="s">
        <v>52</v>
      </c>
      <c r="M60" s="85"/>
      <c r="N60" s="85"/>
      <c r="O60" s="119" t="s">
        <v>52</v>
      </c>
      <c r="P60" s="120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H61" s="1"/>
      <c r="I61" s="1"/>
      <c r="J61" s="44">
        <v>18.0</v>
      </c>
      <c r="K61" s="83" t="s">
        <v>52</v>
      </c>
      <c r="L61" s="84" t="s">
        <v>52</v>
      </c>
      <c r="M61" s="85"/>
      <c r="N61" s="85"/>
      <c r="O61" s="119" t="s">
        <v>52</v>
      </c>
      <c r="P61" s="120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21"/>
      <c r="B62" s="122"/>
      <c r="C62" s="122"/>
      <c r="D62" s="122"/>
      <c r="E62" s="122"/>
      <c r="F62" s="122"/>
      <c r="G62" s="122"/>
      <c r="H62" s="1"/>
      <c r="I62" s="1"/>
      <c r="J62" s="67">
        <v>19.0</v>
      </c>
      <c r="K62" s="83" t="s">
        <v>52</v>
      </c>
      <c r="L62" s="84" t="s">
        <v>52</v>
      </c>
      <c r="M62" s="85"/>
      <c r="N62" s="85"/>
      <c r="O62" s="119" t="s">
        <v>52</v>
      </c>
      <c r="P62" s="120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21"/>
      <c r="B63" s="123" t="s">
        <v>84</v>
      </c>
      <c r="C63" s="22">
        <v>46036.0</v>
      </c>
      <c r="F63" s="123" t="s">
        <v>84</v>
      </c>
      <c r="G63" s="124">
        <v>46044.0</v>
      </c>
      <c r="H63" s="1"/>
      <c r="I63" s="1"/>
      <c r="J63" s="67">
        <v>20.0</v>
      </c>
      <c r="K63" s="68" t="s">
        <v>52</v>
      </c>
      <c r="L63" s="69" t="s">
        <v>52</v>
      </c>
      <c r="M63" s="70"/>
      <c r="N63" s="70"/>
      <c r="O63" s="125" t="s">
        <v>52</v>
      </c>
      <c r="P63" s="126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23" t="s">
        <v>85</v>
      </c>
      <c r="C64" s="16" t="s">
        <v>86</v>
      </c>
      <c r="F64" s="123" t="s">
        <v>85</v>
      </c>
      <c r="G64" s="127" t="s">
        <v>87</v>
      </c>
      <c r="H64" s="1"/>
      <c r="I64" s="1"/>
      <c r="J64" s="12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21" t="s">
        <v>88</v>
      </c>
      <c r="B65" s="128" t="s">
        <v>89</v>
      </c>
      <c r="F65" s="128" t="s">
        <v>90</v>
      </c>
      <c r="H65" s="1"/>
      <c r="I65" s="1"/>
      <c r="J65" s="1"/>
      <c r="K65" s="129" t="s">
        <v>91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21"/>
      <c r="D66" s="1"/>
      <c r="E66" s="1"/>
      <c r="H66" s="1"/>
      <c r="I66" s="1"/>
      <c r="J66" s="121"/>
      <c r="K66" s="1"/>
      <c r="L66" s="1"/>
      <c r="M66" s="1"/>
      <c r="O66" s="128" t="s">
        <v>92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21"/>
      <c r="B67" s="13" t="s">
        <v>93</v>
      </c>
      <c r="C67" s="15"/>
      <c r="D67" s="1"/>
      <c r="E67" s="1"/>
      <c r="F67" s="32" t="s">
        <v>32</v>
      </c>
      <c r="G67" s="15"/>
      <c r="H67" s="1"/>
      <c r="I67" s="1"/>
      <c r="J67" s="1"/>
      <c r="K67" s="123" t="s">
        <v>84</v>
      </c>
      <c r="L67" s="124">
        <v>46044.0</v>
      </c>
      <c r="N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21"/>
      <c r="B68" s="1"/>
      <c r="C68" s="1"/>
      <c r="D68" s="1"/>
      <c r="E68" s="1"/>
      <c r="F68" s="1"/>
      <c r="G68" s="1"/>
      <c r="H68" s="1"/>
      <c r="I68" s="1"/>
      <c r="J68" s="1"/>
      <c r="K68" s="123" t="s">
        <v>85</v>
      </c>
      <c r="L68" s="127" t="s">
        <v>87</v>
      </c>
      <c r="M68" s="1"/>
      <c r="N68" s="1"/>
      <c r="O68" s="130"/>
      <c r="P68" s="130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6.0" customHeight="1">
      <c r="A69" s="1"/>
      <c r="B69" s="131" t="s">
        <v>94</v>
      </c>
      <c r="C69" s="132"/>
      <c r="D69" s="1"/>
      <c r="E69" s="1"/>
      <c r="F69" s="133" t="s">
        <v>32</v>
      </c>
      <c r="G69" s="132"/>
      <c r="H69" s="1"/>
      <c r="I69" s="1"/>
      <c r="J69" s="1"/>
      <c r="K69" s="128" t="s">
        <v>95</v>
      </c>
      <c r="L69" s="134"/>
      <c r="M69" s="1"/>
      <c r="N69" s="1"/>
      <c r="O69" s="135" t="s">
        <v>96</v>
      </c>
      <c r="P69" s="132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36"/>
      <c r="C70" s="137"/>
      <c r="D70" s="1"/>
      <c r="E70" s="1"/>
      <c r="F70" s="136"/>
      <c r="G70" s="137"/>
      <c r="H70" s="1"/>
      <c r="I70" s="1"/>
      <c r="J70" s="1"/>
      <c r="N70" s="1"/>
      <c r="O70" s="136"/>
      <c r="P70" s="137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38"/>
      <c r="C71" s="139"/>
      <c r="D71" s="1"/>
      <c r="E71" s="1"/>
      <c r="F71" s="138"/>
      <c r="G71" s="139"/>
      <c r="H71" s="1"/>
      <c r="I71" s="1"/>
      <c r="J71" s="1"/>
      <c r="L71" s="140" t="s">
        <v>97</v>
      </c>
      <c r="M71" s="15"/>
      <c r="N71" s="1"/>
      <c r="O71" s="138"/>
      <c r="P71" s="139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41" t="s">
        <v>98</v>
      </c>
      <c r="B73" s="142"/>
      <c r="C73" s="142"/>
      <c r="D73" s="142"/>
      <c r="E73" s="142"/>
      <c r="F73" s="142"/>
      <c r="G73" s="142"/>
      <c r="H73" s="1"/>
      <c r="I73" s="1"/>
      <c r="J73" s="143" t="s">
        <v>99</v>
      </c>
      <c r="K73" s="142"/>
      <c r="L73" s="142"/>
      <c r="M73" s="142"/>
      <c r="N73" s="142"/>
      <c r="O73" s="142"/>
      <c r="P73" s="142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H74" s="1"/>
      <c r="I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7">
    <mergeCell ref="N36:N37"/>
    <mergeCell ref="O36:O37"/>
    <mergeCell ref="N31:N32"/>
    <mergeCell ref="O31:O32"/>
    <mergeCell ref="P31:P32"/>
    <mergeCell ref="C33:E33"/>
    <mergeCell ref="C35:E35"/>
    <mergeCell ref="B36:B37"/>
    <mergeCell ref="C36:E37"/>
    <mergeCell ref="P36:P37"/>
    <mergeCell ref="O47:P47"/>
    <mergeCell ref="O48:P48"/>
    <mergeCell ref="L42:L43"/>
    <mergeCell ref="M42:M43"/>
    <mergeCell ref="N42:N43"/>
    <mergeCell ref="O42:P43"/>
    <mergeCell ref="O44:P44"/>
    <mergeCell ref="O45:P45"/>
    <mergeCell ref="O46:P46"/>
    <mergeCell ref="O61:P61"/>
    <mergeCell ref="O62:P62"/>
    <mergeCell ref="O63:P63"/>
    <mergeCell ref="O66:P68"/>
    <mergeCell ref="O54:P54"/>
    <mergeCell ref="O55:P55"/>
    <mergeCell ref="O56:P56"/>
    <mergeCell ref="O57:P57"/>
    <mergeCell ref="O58:P58"/>
    <mergeCell ref="O59:P59"/>
    <mergeCell ref="O60:P60"/>
    <mergeCell ref="K65:O65"/>
    <mergeCell ref="K69:K71"/>
    <mergeCell ref="O69:P71"/>
    <mergeCell ref="L71:M71"/>
    <mergeCell ref="L36:L37"/>
    <mergeCell ref="M36:M37"/>
    <mergeCell ref="O49:P49"/>
    <mergeCell ref="O50:P50"/>
    <mergeCell ref="O51:P51"/>
    <mergeCell ref="O52:P52"/>
    <mergeCell ref="O53:P53"/>
    <mergeCell ref="C8:E8"/>
    <mergeCell ref="C9:E9"/>
    <mergeCell ref="B11:C11"/>
    <mergeCell ref="C12:E12"/>
    <mergeCell ref="C14:E14"/>
    <mergeCell ref="B15:G16"/>
    <mergeCell ref="B22:G27"/>
    <mergeCell ref="C2:F3"/>
    <mergeCell ref="G2:G3"/>
    <mergeCell ref="L2:O3"/>
    <mergeCell ref="P2:P3"/>
    <mergeCell ref="L4:O5"/>
    <mergeCell ref="L6:N6"/>
    <mergeCell ref="C7:E7"/>
    <mergeCell ref="N13:N14"/>
    <mergeCell ref="O13:O14"/>
    <mergeCell ref="L7:N7"/>
    <mergeCell ref="O7:O8"/>
    <mergeCell ref="L8:N8"/>
    <mergeCell ref="O10:P10"/>
    <mergeCell ref="O11:P11"/>
    <mergeCell ref="J13:J14"/>
    <mergeCell ref="K13:K14"/>
    <mergeCell ref="L13:L14"/>
    <mergeCell ref="M13:M14"/>
    <mergeCell ref="L28:N28"/>
    <mergeCell ref="J31:J32"/>
    <mergeCell ref="K31:K32"/>
    <mergeCell ref="L31:L32"/>
    <mergeCell ref="M31:M32"/>
    <mergeCell ref="J36:J37"/>
    <mergeCell ref="K36:K37"/>
    <mergeCell ref="E38:G38"/>
    <mergeCell ref="E39:G39"/>
    <mergeCell ref="B40:G41"/>
    <mergeCell ref="J42:J43"/>
    <mergeCell ref="K42:K43"/>
    <mergeCell ref="A73:G74"/>
    <mergeCell ref="J73:P74"/>
    <mergeCell ref="B43:G61"/>
    <mergeCell ref="B65:C66"/>
    <mergeCell ref="F65:G66"/>
    <mergeCell ref="B67:C67"/>
    <mergeCell ref="F67:G67"/>
    <mergeCell ref="B69:C71"/>
    <mergeCell ref="F69:G71"/>
  </mergeCells>
  <dataValidations>
    <dataValidation type="list" allowBlank="1" showErrorMessage="1" sqref="M19 M33">
      <formula1>#REF!</formula1>
    </dataValidation>
    <dataValidation type="list" allowBlank="1" showErrorMessage="1" sqref="M21:M22 M25:M27 M38:M39 M44:M63">
      <formula1>bdd!$C$1:$C$186</formula1>
    </dataValidation>
    <dataValidation type="list" allowBlank="1" showErrorMessage="1" sqref="G8">
      <formula1>"ME,WE,MU,WU,MJ,WJ"</formula1>
    </dataValidation>
    <dataValidation type="list" allowBlank="1" showErrorMessage="1" sqref="G7">
      <formula1>bdd!$A$1:$A$20</formula1>
    </dataValidation>
    <dataValidation type="list" allowBlank="1" showErrorMessage="1" sqref="L8 C9 O11">
      <formula1>bdd!$B$1:$B$186</formula1>
    </dataValidation>
    <dataValidation type="custom" allowBlank="1" showErrorMessage="1" sqref="O15:O22 O25:O28 N33 N38:N39 N44:N63">
      <formula1>EQ(LEN(N15),(11))</formula1>
    </dataValidation>
    <dataValidation type="decimal" allowBlank="1" showErrorMessage="1" sqref="C17">
      <formula1>4.0</formula1>
      <formula2>9.0</formula2>
    </dataValidation>
    <dataValidation type="custom" allowBlank="1" showErrorMessage="1" sqref="G19">
      <formula1>GT(LEN(G19),(0))</formula1>
    </dataValidation>
    <dataValidation type="date" allowBlank="1" showErrorMessage="1" sqref="N15:N22 N25:N27">
      <formula1>1.0</formula1>
      <formula2>NOW()</formula2>
    </dataValidation>
    <dataValidation type="list" allowBlank="1" showErrorMessage="1" sqref="M15:M18 M20">
      <formula1>#REF!</formula1>
    </dataValidation>
    <dataValidation type="date" operator="greaterThan" allowBlank="1" showErrorMessage="1" sqref="G9:G10 C63 G63 L67">
      <formula1>42736.0</formula1>
    </dataValidation>
    <dataValidation type="custom" allowBlank="1" showErrorMessage="1" sqref="O33 O38:O39">
      <formula1>LT(LEN(O33),(20))</formula1>
    </dataValidation>
  </dataValidations>
  <hyperlinks>
    <hyperlink r:id="rId1" ref="P33"/>
  </hyperlinks>
  <printOptions horizontalCentered="1"/>
  <pageMargins bottom="0.7480314960629921" footer="0.0" header="0.0" left="0.2362204724409449" right="0.2362204724409449" top="0.7480314960629921"/>
  <pageSetup paperSize="9" orientation="portrait"/>
  <colBreaks count="1" manualBreakCount="1">
    <brk id="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5.71"/>
    <col customWidth="1" min="3" max="3" width="9.14"/>
    <col customWidth="1" min="4" max="4" width="14.0"/>
    <col customWidth="1" min="5" max="26" width="9.14"/>
  </cols>
  <sheetData>
    <row r="1">
      <c r="A1" s="144" t="s">
        <v>100</v>
      </c>
      <c r="B1" s="145" t="s">
        <v>101</v>
      </c>
      <c r="C1" s="51" t="s">
        <v>102</v>
      </c>
      <c r="D1" s="51" t="str">
        <f t="shared" ref="D1:D186" si="1">B1</f>
        <v>AFGHANISTAN</v>
      </c>
    </row>
    <row r="2">
      <c r="A2" s="144" t="s">
        <v>103</v>
      </c>
      <c r="B2" s="145" t="s">
        <v>104</v>
      </c>
      <c r="C2" s="51" t="s">
        <v>105</v>
      </c>
      <c r="D2" s="51" t="str">
        <f t="shared" si="1"/>
        <v>ALBANIA</v>
      </c>
    </row>
    <row r="3">
      <c r="A3" s="144" t="s">
        <v>106</v>
      </c>
      <c r="B3" s="145" t="s">
        <v>107</v>
      </c>
      <c r="C3" s="51" t="s">
        <v>108</v>
      </c>
      <c r="D3" s="51" t="str">
        <f t="shared" si="1"/>
        <v>ALGERIA</v>
      </c>
    </row>
    <row r="4">
      <c r="A4" s="144" t="s">
        <v>109</v>
      </c>
      <c r="B4" s="145" t="s">
        <v>110</v>
      </c>
      <c r="C4" s="51" t="s">
        <v>111</v>
      </c>
      <c r="D4" s="51" t="str">
        <f t="shared" si="1"/>
        <v>ANDORRA</v>
      </c>
    </row>
    <row r="5">
      <c r="A5" s="144" t="s">
        <v>112</v>
      </c>
      <c r="B5" s="145" t="s">
        <v>113</v>
      </c>
      <c r="C5" s="51" t="s">
        <v>114</v>
      </c>
      <c r="D5" s="51" t="str">
        <f t="shared" si="1"/>
        <v>ANGOLA</v>
      </c>
    </row>
    <row r="6">
      <c r="A6" s="144" t="s">
        <v>115</v>
      </c>
      <c r="B6" s="145" t="s">
        <v>116</v>
      </c>
      <c r="C6" s="51" t="s">
        <v>117</v>
      </c>
      <c r="D6" s="51" t="str">
        <f t="shared" si="1"/>
        <v>ANTIGUA AND BARBUDA</v>
      </c>
    </row>
    <row r="7">
      <c r="A7" s="144" t="s">
        <v>118</v>
      </c>
      <c r="B7" s="145" t="s">
        <v>119</v>
      </c>
      <c r="C7" s="51" t="s">
        <v>120</v>
      </c>
      <c r="D7" s="51" t="str">
        <f t="shared" si="1"/>
        <v>ARGENTINA</v>
      </c>
    </row>
    <row r="8">
      <c r="A8" s="144" t="s">
        <v>9</v>
      </c>
      <c r="B8" s="145" t="s">
        <v>121</v>
      </c>
      <c r="C8" s="51" t="s">
        <v>122</v>
      </c>
      <c r="D8" s="51" t="str">
        <f t="shared" si="1"/>
        <v>ARMENIA</v>
      </c>
    </row>
    <row r="9">
      <c r="A9" s="144" t="s">
        <v>123</v>
      </c>
      <c r="B9" s="145" t="s">
        <v>124</v>
      </c>
      <c r="C9" s="51" t="s">
        <v>125</v>
      </c>
      <c r="D9" s="51" t="str">
        <f t="shared" si="1"/>
        <v>ARUBA</v>
      </c>
    </row>
    <row r="10">
      <c r="A10" s="144" t="s">
        <v>126</v>
      </c>
      <c r="B10" s="145" t="s">
        <v>127</v>
      </c>
      <c r="C10" s="51" t="s">
        <v>128</v>
      </c>
      <c r="D10" s="51" t="str">
        <f t="shared" si="1"/>
        <v>AUSTRALIA</v>
      </c>
    </row>
    <row r="11">
      <c r="A11" s="144" t="s">
        <v>129</v>
      </c>
      <c r="B11" s="145" t="s">
        <v>130</v>
      </c>
      <c r="C11" s="51" t="s">
        <v>131</v>
      </c>
      <c r="D11" s="51" t="str">
        <f t="shared" si="1"/>
        <v>AUSTRIA</v>
      </c>
    </row>
    <row r="12">
      <c r="A12" s="144" t="s">
        <v>132</v>
      </c>
      <c r="B12" s="145" t="s">
        <v>133</v>
      </c>
      <c r="C12" s="51" t="s">
        <v>134</v>
      </c>
      <c r="D12" s="51" t="str">
        <f t="shared" si="1"/>
        <v>AZERBAIJAN</v>
      </c>
    </row>
    <row r="13">
      <c r="A13" s="144" t="s">
        <v>135</v>
      </c>
      <c r="B13" s="145" t="s">
        <v>136</v>
      </c>
      <c r="C13" s="51" t="s">
        <v>137</v>
      </c>
      <c r="D13" s="51" t="str">
        <f t="shared" si="1"/>
        <v>BAHAMAS</v>
      </c>
    </row>
    <row r="14">
      <c r="A14" s="144" t="s">
        <v>138</v>
      </c>
      <c r="B14" s="145" t="s">
        <v>139</v>
      </c>
      <c r="C14" s="51" t="s">
        <v>140</v>
      </c>
      <c r="D14" s="51" t="str">
        <f t="shared" si="1"/>
        <v>BAHRAIN</v>
      </c>
    </row>
    <row r="15">
      <c r="A15" s="146" t="s">
        <v>141</v>
      </c>
      <c r="B15" s="145" t="s">
        <v>142</v>
      </c>
      <c r="C15" s="51" t="s">
        <v>143</v>
      </c>
      <c r="D15" s="51" t="str">
        <f t="shared" si="1"/>
        <v>BANGLADESH</v>
      </c>
    </row>
    <row r="16">
      <c r="A16" s="144" t="s">
        <v>144</v>
      </c>
      <c r="B16" s="145" t="s">
        <v>145</v>
      </c>
      <c r="C16" s="51" t="s">
        <v>146</v>
      </c>
      <c r="D16" s="51" t="str">
        <f t="shared" si="1"/>
        <v>BARBADOS</v>
      </c>
    </row>
    <row r="17">
      <c r="A17" s="144" t="s">
        <v>147</v>
      </c>
      <c r="B17" s="145" t="s">
        <v>148</v>
      </c>
      <c r="C17" s="51" t="s">
        <v>149</v>
      </c>
      <c r="D17" s="51" t="str">
        <f t="shared" si="1"/>
        <v>BELARUS</v>
      </c>
    </row>
    <row r="18">
      <c r="A18" s="144" t="s">
        <v>150</v>
      </c>
      <c r="B18" s="145" t="s">
        <v>151</v>
      </c>
      <c r="C18" s="51" t="s">
        <v>152</v>
      </c>
      <c r="D18" s="51" t="str">
        <f t="shared" si="1"/>
        <v>BELGIUM</v>
      </c>
    </row>
    <row r="19">
      <c r="A19" s="144" t="s">
        <v>153</v>
      </c>
      <c r="B19" s="145" t="s">
        <v>154</v>
      </c>
      <c r="C19" s="51" t="s">
        <v>155</v>
      </c>
      <c r="D19" s="51" t="str">
        <f t="shared" si="1"/>
        <v>BELIZE</v>
      </c>
    </row>
    <row r="20">
      <c r="A20" s="144" t="s">
        <v>156</v>
      </c>
      <c r="B20" s="145" t="s">
        <v>157</v>
      </c>
      <c r="C20" s="51" t="s">
        <v>158</v>
      </c>
      <c r="D20" s="51" t="str">
        <f t="shared" si="1"/>
        <v>BENIN</v>
      </c>
    </row>
    <row r="21" ht="15.75" customHeight="1">
      <c r="B21" s="145" t="s">
        <v>159</v>
      </c>
      <c r="C21" s="51" t="s">
        <v>160</v>
      </c>
      <c r="D21" s="51" t="str">
        <f t="shared" si="1"/>
        <v>BERMUDA</v>
      </c>
    </row>
    <row r="22" ht="15.75" customHeight="1">
      <c r="B22" s="145" t="s">
        <v>161</v>
      </c>
      <c r="C22" s="51" t="s">
        <v>162</v>
      </c>
      <c r="D22" s="51" t="str">
        <f t="shared" si="1"/>
        <v>BOLIVARIAN REPUBLIC OF VENEZUELA</v>
      </c>
    </row>
    <row r="23" ht="15.75" customHeight="1">
      <c r="B23" s="145" t="s">
        <v>163</v>
      </c>
      <c r="C23" s="51" t="s">
        <v>164</v>
      </c>
      <c r="D23" s="51" t="str">
        <f t="shared" si="1"/>
        <v>BOLIVIA</v>
      </c>
    </row>
    <row r="24" ht="15.75" customHeight="1">
      <c r="B24" s="145" t="s">
        <v>165</v>
      </c>
      <c r="C24" s="51" t="s">
        <v>166</v>
      </c>
      <c r="D24" s="51" t="str">
        <f t="shared" si="1"/>
        <v>BOSNIA AND HERZEGOVINA</v>
      </c>
    </row>
    <row r="25" ht="15.75" customHeight="1">
      <c r="B25" s="145" t="s">
        <v>167</v>
      </c>
      <c r="C25" s="51" t="s">
        <v>168</v>
      </c>
      <c r="D25" s="51" t="str">
        <f t="shared" si="1"/>
        <v>BOTSWANA</v>
      </c>
    </row>
    <row r="26" ht="15.75" customHeight="1">
      <c r="B26" s="145" t="s">
        <v>169</v>
      </c>
      <c r="C26" s="51" t="s">
        <v>170</v>
      </c>
      <c r="D26" s="51" t="str">
        <f t="shared" si="1"/>
        <v>BRAZIL</v>
      </c>
    </row>
    <row r="27" ht="15.75" customHeight="1">
      <c r="B27" s="145" t="s">
        <v>171</v>
      </c>
      <c r="C27" s="51" t="s">
        <v>172</v>
      </c>
      <c r="D27" s="51" t="str">
        <f t="shared" si="1"/>
        <v>BRUNEI DARUSSALAM</v>
      </c>
    </row>
    <row r="28" ht="15.75" customHeight="1">
      <c r="B28" s="145" t="s">
        <v>173</v>
      </c>
      <c r="C28" s="51" t="s">
        <v>174</v>
      </c>
      <c r="D28" s="51" t="str">
        <f t="shared" si="1"/>
        <v>BULGARIA</v>
      </c>
    </row>
    <row r="29" ht="15.75" customHeight="1">
      <c r="B29" s="145" t="s">
        <v>175</v>
      </c>
      <c r="C29" s="51" t="s">
        <v>176</v>
      </c>
      <c r="D29" s="51" t="str">
        <f t="shared" si="1"/>
        <v>BURKINA FASO</v>
      </c>
    </row>
    <row r="30" ht="15.75" customHeight="1">
      <c r="B30" s="145" t="s">
        <v>177</v>
      </c>
      <c r="C30" s="51" t="s">
        <v>178</v>
      </c>
      <c r="D30" s="51" t="str">
        <f t="shared" si="1"/>
        <v>BURUNDI</v>
      </c>
    </row>
    <row r="31" ht="15.75" customHeight="1">
      <c r="B31" s="145" t="s">
        <v>179</v>
      </c>
      <c r="C31" s="51" t="s">
        <v>180</v>
      </c>
      <c r="D31" s="51" t="str">
        <f t="shared" si="1"/>
        <v>CAMBODIA</v>
      </c>
    </row>
    <row r="32" ht="15.75" customHeight="1">
      <c r="B32" s="145" t="s">
        <v>181</v>
      </c>
      <c r="C32" s="51" t="s">
        <v>182</v>
      </c>
      <c r="D32" s="51" t="str">
        <f t="shared" si="1"/>
        <v>CAMEROON</v>
      </c>
    </row>
    <row r="33" ht="15.75" customHeight="1">
      <c r="B33" s="145" t="s">
        <v>183</v>
      </c>
      <c r="C33" s="51" t="s">
        <v>184</v>
      </c>
      <c r="D33" s="51" t="str">
        <f t="shared" si="1"/>
        <v>CANADA</v>
      </c>
    </row>
    <row r="34" ht="15.75" customHeight="1">
      <c r="B34" s="145" t="s">
        <v>185</v>
      </c>
      <c r="C34" s="51" t="s">
        <v>186</v>
      </c>
      <c r="D34" s="51" t="str">
        <f t="shared" si="1"/>
        <v>CAYMAN ISLANDS</v>
      </c>
    </row>
    <row r="35" ht="15.75" customHeight="1">
      <c r="B35" s="145" t="s">
        <v>187</v>
      </c>
      <c r="C35" s="51" t="s">
        <v>188</v>
      </c>
      <c r="D35" s="51" t="str">
        <f t="shared" si="1"/>
        <v>CENTRAL AFRICAN REPUBLIC</v>
      </c>
    </row>
    <row r="36" ht="15.75" customHeight="1">
      <c r="B36" s="145" t="s">
        <v>189</v>
      </c>
      <c r="C36" s="51" t="s">
        <v>190</v>
      </c>
      <c r="D36" s="51" t="str">
        <f t="shared" si="1"/>
        <v>CHILE</v>
      </c>
    </row>
    <row r="37" ht="15.75" customHeight="1">
      <c r="B37" s="145" t="s">
        <v>191</v>
      </c>
      <c r="C37" s="51" t="s">
        <v>192</v>
      </c>
      <c r="D37" s="51" t="str">
        <f t="shared" si="1"/>
        <v>CHINESE TAIPEI</v>
      </c>
    </row>
    <row r="38" ht="15.75" customHeight="1">
      <c r="B38" s="145" t="s">
        <v>193</v>
      </c>
      <c r="C38" s="51" t="s">
        <v>194</v>
      </c>
      <c r="D38" s="51" t="str">
        <f t="shared" si="1"/>
        <v>COLOMBIA</v>
      </c>
    </row>
    <row r="39" ht="15.75" customHeight="1">
      <c r="B39" s="145" t="s">
        <v>195</v>
      </c>
      <c r="C39" s="51" t="s">
        <v>196</v>
      </c>
      <c r="D39" s="51" t="str">
        <f t="shared" si="1"/>
        <v>COMOROS</v>
      </c>
    </row>
    <row r="40" ht="15.75" customHeight="1">
      <c r="B40" s="145" t="s">
        <v>197</v>
      </c>
      <c r="C40" s="51" t="s">
        <v>198</v>
      </c>
      <c r="D40" s="51" t="str">
        <f t="shared" si="1"/>
        <v>CONGO</v>
      </c>
    </row>
    <row r="41" ht="15.75" customHeight="1">
      <c r="B41" s="145" t="s">
        <v>199</v>
      </c>
      <c r="C41" s="51" t="s">
        <v>200</v>
      </c>
      <c r="D41" s="51" t="str">
        <f t="shared" si="1"/>
        <v>COSTA RICA</v>
      </c>
    </row>
    <row r="42" ht="15.75" customHeight="1">
      <c r="B42" s="145" t="s">
        <v>201</v>
      </c>
      <c r="C42" s="51" t="s">
        <v>202</v>
      </c>
      <c r="D42" s="51" t="str">
        <f t="shared" si="1"/>
        <v>COTE D'IVOIRE</v>
      </c>
    </row>
    <row r="43" ht="15.75" customHeight="1">
      <c r="B43" s="145" t="s">
        <v>203</v>
      </c>
      <c r="C43" s="51" t="s">
        <v>204</v>
      </c>
      <c r="D43" s="51" t="str">
        <f t="shared" si="1"/>
        <v>CROATIA</v>
      </c>
    </row>
    <row r="44" ht="15.75" customHeight="1">
      <c r="B44" s="145" t="s">
        <v>205</v>
      </c>
      <c r="C44" s="51" t="s">
        <v>206</v>
      </c>
      <c r="D44" s="51" t="str">
        <f t="shared" si="1"/>
        <v>CUBA</v>
      </c>
    </row>
    <row r="45" ht="15.75" customHeight="1">
      <c r="B45" s="145" t="s">
        <v>207</v>
      </c>
      <c r="C45" s="51" t="s">
        <v>208</v>
      </c>
      <c r="D45" s="51" t="str">
        <f t="shared" si="1"/>
        <v>CYPRUS</v>
      </c>
    </row>
    <row r="46" ht="15.75" customHeight="1">
      <c r="B46" s="145" t="s">
        <v>209</v>
      </c>
      <c r="C46" s="51" t="s">
        <v>210</v>
      </c>
      <c r="D46" s="51" t="str">
        <f t="shared" si="1"/>
        <v>CZECH REPUBLIC</v>
      </c>
    </row>
    <row r="47" ht="15.75" customHeight="1">
      <c r="B47" s="145" t="s">
        <v>211</v>
      </c>
      <c r="C47" s="51" t="s">
        <v>212</v>
      </c>
      <c r="D47" s="51" t="str">
        <f t="shared" si="1"/>
        <v>DEMOCRATIC PEOPLE'S REPUBLIC OF KOREA</v>
      </c>
    </row>
    <row r="48" ht="15.75" customHeight="1">
      <c r="B48" s="145" t="s">
        <v>213</v>
      </c>
      <c r="C48" s="51" t="s">
        <v>214</v>
      </c>
      <c r="D48" s="51" t="str">
        <f t="shared" si="1"/>
        <v>DEMOCRATIC REPUBLIC OF THE CONGO</v>
      </c>
    </row>
    <row r="49" ht="15.75" customHeight="1">
      <c r="B49" s="145" t="s">
        <v>215</v>
      </c>
      <c r="C49" s="51" t="s">
        <v>216</v>
      </c>
      <c r="D49" s="51" t="str">
        <f t="shared" si="1"/>
        <v>DENMARK</v>
      </c>
    </row>
    <row r="50" ht="15.75" customHeight="1">
      <c r="B50" s="145" t="s">
        <v>217</v>
      </c>
      <c r="C50" s="51" t="s">
        <v>218</v>
      </c>
      <c r="D50" s="51" t="str">
        <f t="shared" si="1"/>
        <v>DJIBOUTI</v>
      </c>
    </row>
    <row r="51" ht="15.75" customHeight="1">
      <c r="B51" s="145" t="s">
        <v>219</v>
      </c>
      <c r="C51" s="51" t="s">
        <v>220</v>
      </c>
      <c r="D51" s="51" t="str">
        <f t="shared" si="1"/>
        <v>DOMINICA</v>
      </c>
    </row>
    <row r="52" ht="15.75" customHeight="1">
      <c r="B52" s="145" t="s">
        <v>221</v>
      </c>
      <c r="C52" s="51" t="s">
        <v>222</v>
      </c>
      <c r="D52" s="51" t="str">
        <f t="shared" si="1"/>
        <v>DOMINICAN REPUBLIC</v>
      </c>
    </row>
    <row r="53" ht="15.75" customHeight="1">
      <c r="B53" s="145" t="s">
        <v>223</v>
      </c>
      <c r="C53" s="51" t="s">
        <v>224</v>
      </c>
      <c r="D53" s="51" t="str">
        <f t="shared" si="1"/>
        <v>ECUADOR</v>
      </c>
    </row>
    <row r="54" ht="15.75" customHeight="1">
      <c r="B54" s="145" t="s">
        <v>225</v>
      </c>
      <c r="C54" s="51" t="s">
        <v>226</v>
      </c>
      <c r="D54" s="51" t="str">
        <f t="shared" si="1"/>
        <v>EGYPT</v>
      </c>
    </row>
    <row r="55" ht="15.75" customHeight="1">
      <c r="B55" s="145" t="s">
        <v>227</v>
      </c>
      <c r="C55" s="51" t="s">
        <v>228</v>
      </c>
      <c r="D55" s="51" t="str">
        <f t="shared" si="1"/>
        <v>EL SALVADOR</v>
      </c>
    </row>
    <row r="56" ht="15.75" customHeight="1">
      <c r="B56" s="145" t="s">
        <v>229</v>
      </c>
      <c r="C56" s="51" t="s">
        <v>230</v>
      </c>
      <c r="D56" s="51" t="str">
        <f t="shared" si="1"/>
        <v>ERITREA</v>
      </c>
    </row>
    <row r="57" ht="15.75" customHeight="1">
      <c r="B57" s="145" t="s">
        <v>231</v>
      </c>
      <c r="C57" s="51" t="s">
        <v>232</v>
      </c>
      <c r="D57" s="51" t="str">
        <f t="shared" si="1"/>
        <v>ESTONIA</v>
      </c>
    </row>
    <row r="58" ht="15.75" customHeight="1">
      <c r="B58" s="145" t="s">
        <v>233</v>
      </c>
      <c r="C58" s="51" t="s">
        <v>234</v>
      </c>
      <c r="D58" s="51" t="str">
        <f t="shared" si="1"/>
        <v>ETHIOPIA</v>
      </c>
    </row>
    <row r="59" ht="15.75" customHeight="1">
      <c r="B59" s="145" t="s">
        <v>235</v>
      </c>
      <c r="C59" s="51" t="s">
        <v>236</v>
      </c>
      <c r="D59" s="51" t="str">
        <f t="shared" si="1"/>
        <v>FIJI</v>
      </c>
    </row>
    <row r="60" ht="15.75" customHeight="1">
      <c r="B60" s="145" t="s">
        <v>237</v>
      </c>
      <c r="C60" s="51" t="s">
        <v>238</v>
      </c>
      <c r="D60" s="51" t="str">
        <f t="shared" si="1"/>
        <v>FINLAND</v>
      </c>
    </row>
    <row r="61" ht="15.75" customHeight="1">
      <c r="B61" s="145" t="s">
        <v>239</v>
      </c>
      <c r="C61" s="51" t="s">
        <v>240</v>
      </c>
      <c r="D61" s="51" t="str">
        <f t="shared" si="1"/>
        <v>FORMER YUGOSLAV REPUBLIC OF MACEDONIA</v>
      </c>
    </row>
    <row r="62" ht="15.75" customHeight="1">
      <c r="B62" s="145" t="s">
        <v>16</v>
      </c>
      <c r="C62" s="51" t="s">
        <v>37</v>
      </c>
      <c r="D62" s="51" t="str">
        <f t="shared" si="1"/>
        <v>FRANCE</v>
      </c>
    </row>
    <row r="63" ht="15.75" customHeight="1">
      <c r="B63" s="145" t="s">
        <v>241</v>
      </c>
      <c r="C63" s="51" t="s">
        <v>242</v>
      </c>
      <c r="D63" s="51" t="str">
        <f t="shared" si="1"/>
        <v>GABON</v>
      </c>
    </row>
    <row r="64" ht="15.75" customHeight="1">
      <c r="B64" s="145" t="s">
        <v>243</v>
      </c>
      <c r="C64" s="51" t="s">
        <v>244</v>
      </c>
      <c r="D64" s="51" t="str">
        <f t="shared" si="1"/>
        <v>GAMBIA</v>
      </c>
    </row>
    <row r="65" ht="15.75" customHeight="1">
      <c r="B65" s="145" t="s">
        <v>245</v>
      </c>
      <c r="C65" s="51" t="s">
        <v>246</v>
      </c>
      <c r="D65" s="51" t="str">
        <f t="shared" si="1"/>
        <v>GEORGIA</v>
      </c>
    </row>
    <row r="66" ht="15.75" customHeight="1">
      <c r="B66" s="145" t="s">
        <v>247</v>
      </c>
      <c r="C66" s="51" t="s">
        <v>248</v>
      </c>
      <c r="D66" s="51" t="str">
        <f t="shared" si="1"/>
        <v>GERMANY</v>
      </c>
    </row>
    <row r="67" ht="15.75" customHeight="1">
      <c r="B67" s="145" t="s">
        <v>249</v>
      </c>
      <c r="C67" s="51" t="s">
        <v>250</v>
      </c>
      <c r="D67" s="51" t="str">
        <f t="shared" si="1"/>
        <v>GHANA</v>
      </c>
    </row>
    <row r="68" ht="15.75" customHeight="1">
      <c r="B68" s="145" t="s">
        <v>251</v>
      </c>
      <c r="C68" s="51" t="s">
        <v>252</v>
      </c>
      <c r="D68" s="51" t="str">
        <f t="shared" si="1"/>
        <v>GREAT BRITAIN</v>
      </c>
    </row>
    <row r="69" ht="15.75" customHeight="1">
      <c r="B69" s="145" t="s">
        <v>253</v>
      </c>
      <c r="C69" s="51" t="s">
        <v>254</v>
      </c>
      <c r="D69" s="51" t="str">
        <f t="shared" si="1"/>
        <v>GREECE</v>
      </c>
    </row>
    <row r="70" ht="15.75" customHeight="1">
      <c r="B70" s="145" t="s">
        <v>255</v>
      </c>
      <c r="C70" s="51" t="s">
        <v>256</v>
      </c>
      <c r="D70" s="51" t="str">
        <f t="shared" si="1"/>
        <v>GRENADA</v>
      </c>
    </row>
    <row r="71" ht="15.75" customHeight="1">
      <c r="B71" s="145" t="s">
        <v>257</v>
      </c>
      <c r="C71" s="51" t="s">
        <v>258</v>
      </c>
      <c r="D71" s="51" t="str">
        <f t="shared" si="1"/>
        <v>GUAM</v>
      </c>
    </row>
    <row r="72" ht="15.75" customHeight="1">
      <c r="B72" s="145" t="s">
        <v>259</v>
      </c>
      <c r="C72" s="51" t="s">
        <v>260</v>
      </c>
      <c r="D72" s="51" t="str">
        <f t="shared" si="1"/>
        <v>GUATEMALA</v>
      </c>
    </row>
    <row r="73" ht="15.75" customHeight="1">
      <c r="B73" s="145" t="s">
        <v>261</v>
      </c>
      <c r="C73" s="51" t="s">
        <v>262</v>
      </c>
      <c r="D73" s="51" t="str">
        <f t="shared" si="1"/>
        <v>GUINEA</v>
      </c>
    </row>
    <row r="74" ht="15.75" customHeight="1">
      <c r="B74" s="145" t="s">
        <v>263</v>
      </c>
      <c r="C74" s="51" t="s">
        <v>264</v>
      </c>
      <c r="D74" s="51" t="str">
        <f t="shared" si="1"/>
        <v>GUYANA</v>
      </c>
    </row>
    <row r="75" ht="15.75" customHeight="1">
      <c r="B75" s="145" t="s">
        <v>265</v>
      </c>
      <c r="C75" s="51" t="s">
        <v>266</v>
      </c>
      <c r="D75" s="51" t="str">
        <f t="shared" si="1"/>
        <v>HAITI</v>
      </c>
    </row>
    <row r="76" ht="15.75" customHeight="1">
      <c r="B76" s="145" t="s">
        <v>267</v>
      </c>
      <c r="C76" s="51" t="s">
        <v>268</v>
      </c>
      <c r="D76" s="51" t="str">
        <f t="shared" si="1"/>
        <v>HONDURAS</v>
      </c>
    </row>
    <row r="77" ht="15.75" customHeight="1">
      <c r="B77" s="145" t="s">
        <v>269</v>
      </c>
      <c r="C77" s="51" t="s">
        <v>270</v>
      </c>
      <c r="D77" s="51" t="str">
        <f t="shared" si="1"/>
        <v>HONG KONG, CHINA</v>
      </c>
    </row>
    <row r="78" ht="15.75" customHeight="1">
      <c r="B78" s="145" t="s">
        <v>271</v>
      </c>
      <c r="C78" s="51" t="s">
        <v>272</v>
      </c>
      <c r="D78" s="51" t="str">
        <f t="shared" si="1"/>
        <v>HUNGARY</v>
      </c>
    </row>
    <row r="79" ht="15.75" customHeight="1">
      <c r="B79" s="145" t="s">
        <v>273</v>
      </c>
      <c r="C79" s="51" t="s">
        <v>274</v>
      </c>
      <c r="D79" s="51" t="str">
        <f t="shared" si="1"/>
        <v>ICELAND</v>
      </c>
    </row>
    <row r="80" ht="15.75" customHeight="1">
      <c r="B80" s="145" t="s">
        <v>275</v>
      </c>
      <c r="C80" s="51" t="s">
        <v>276</v>
      </c>
      <c r="D80" s="51" t="str">
        <f t="shared" si="1"/>
        <v>INDIA</v>
      </c>
    </row>
    <row r="81" ht="15.75" customHeight="1">
      <c r="B81" s="145" t="s">
        <v>277</v>
      </c>
      <c r="C81" s="51" t="s">
        <v>278</v>
      </c>
      <c r="D81" s="51" t="str">
        <f t="shared" si="1"/>
        <v>INDONESIA</v>
      </c>
    </row>
    <row r="82" ht="15.75" customHeight="1">
      <c r="B82" s="145" t="s">
        <v>279</v>
      </c>
      <c r="C82" s="51" t="s">
        <v>280</v>
      </c>
      <c r="D82" s="51" t="str">
        <f t="shared" si="1"/>
        <v>IRAQ</v>
      </c>
    </row>
    <row r="83" ht="15.75" customHeight="1">
      <c r="B83" s="145" t="s">
        <v>281</v>
      </c>
      <c r="C83" s="51" t="s">
        <v>282</v>
      </c>
      <c r="D83" s="51" t="str">
        <f t="shared" si="1"/>
        <v>IRELAND</v>
      </c>
    </row>
    <row r="84" ht="15.75" customHeight="1">
      <c r="B84" s="145" t="s">
        <v>283</v>
      </c>
      <c r="C84" s="51" t="s">
        <v>284</v>
      </c>
      <c r="D84" s="51" t="str">
        <f t="shared" si="1"/>
        <v>ISLAMIC REPUBLIC OF IRAN</v>
      </c>
    </row>
    <row r="85" ht="15.75" customHeight="1">
      <c r="B85" s="145" t="s">
        <v>285</v>
      </c>
      <c r="C85" s="51" t="s">
        <v>286</v>
      </c>
      <c r="D85" s="51" t="str">
        <f t="shared" si="1"/>
        <v>ISRAEL</v>
      </c>
    </row>
    <row r="86" ht="15.75" customHeight="1">
      <c r="B86" s="145" t="s">
        <v>287</v>
      </c>
      <c r="C86" s="51" t="s">
        <v>288</v>
      </c>
      <c r="D86" s="51" t="str">
        <f t="shared" si="1"/>
        <v>ITALY</v>
      </c>
    </row>
    <row r="87" ht="15.75" customHeight="1">
      <c r="B87" s="145" t="s">
        <v>289</v>
      </c>
      <c r="C87" s="51" t="s">
        <v>290</v>
      </c>
      <c r="D87" s="51" t="str">
        <f t="shared" si="1"/>
        <v>JAMAICA</v>
      </c>
    </row>
    <row r="88" ht="15.75" customHeight="1">
      <c r="B88" s="145" t="s">
        <v>291</v>
      </c>
      <c r="C88" s="51" t="s">
        <v>292</v>
      </c>
      <c r="D88" s="51" t="str">
        <f t="shared" si="1"/>
        <v>JAPAN</v>
      </c>
    </row>
    <row r="89" ht="15.75" customHeight="1">
      <c r="B89" s="145" t="s">
        <v>293</v>
      </c>
      <c r="C89" s="51" t="s">
        <v>294</v>
      </c>
      <c r="D89" s="51" t="str">
        <f t="shared" si="1"/>
        <v>JORDAN</v>
      </c>
    </row>
    <row r="90" ht="15.75" customHeight="1">
      <c r="B90" s="145" t="s">
        <v>295</v>
      </c>
      <c r="C90" s="51" t="s">
        <v>296</v>
      </c>
      <c r="D90" s="51" t="str">
        <f t="shared" si="1"/>
        <v>KAZAKHSTAN</v>
      </c>
    </row>
    <row r="91" ht="15.75" customHeight="1">
      <c r="B91" s="145" t="s">
        <v>297</v>
      </c>
      <c r="C91" s="51" t="s">
        <v>298</v>
      </c>
      <c r="D91" s="51" t="str">
        <f t="shared" si="1"/>
        <v>KENYA</v>
      </c>
    </row>
    <row r="92" ht="15.75" customHeight="1">
      <c r="B92" s="145" t="s">
        <v>299</v>
      </c>
      <c r="C92" s="51" t="s">
        <v>300</v>
      </c>
      <c r="D92" s="51" t="str">
        <f t="shared" si="1"/>
        <v>KOREA</v>
      </c>
    </row>
    <row r="93" ht="15.75" customHeight="1">
      <c r="B93" s="145" t="s">
        <v>301</v>
      </c>
      <c r="C93" s="51" t="s">
        <v>302</v>
      </c>
      <c r="D93" s="51" t="str">
        <f t="shared" si="1"/>
        <v>KOSOVO</v>
      </c>
    </row>
    <row r="94" ht="15.75" customHeight="1">
      <c r="B94" s="145" t="s">
        <v>303</v>
      </c>
      <c r="C94" s="51" t="s">
        <v>304</v>
      </c>
      <c r="D94" s="51" t="str">
        <f t="shared" si="1"/>
        <v>KUWAIT</v>
      </c>
    </row>
    <row r="95" ht="15.75" customHeight="1">
      <c r="B95" s="145" t="s">
        <v>305</v>
      </c>
      <c r="C95" s="51" t="s">
        <v>306</v>
      </c>
      <c r="D95" s="51" t="str">
        <f t="shared" si="1"/>
        <v>KYRGYZSTAN</v>
      </c>
    </row>
    <row r="96" ht="15.75" customHeight="1">
      <c r="B96" s="145" t="s">
        <v>307</v>
      </c>
      <c r="C96" s="51" t="s">
        <v>308</v>
      </c>
      <c r="D96" s="51" t="str">
        <f t="shared" si="1"/>
        <v>LAO PEOPLE'S DEMOCRATIC REPUBLIC</v>
      </c>
    </row>
    <row r="97" ht="15.75" customHeight="1">
      <c r="B97" s="145" t="s">
        <v>309</v>
      </c>
      <c r="C97" s="51" t="s">
        <v>310</v>
      </c>
      <c r="D97" s="51" t="str">
        <f t="shared" si="1"/>
        <v>LATVIA</v>
      </c>
    </row>
    <row r="98" ht="15.75" customHeight="1">
      <c r="B98" s="145" t="s">
        <v>311</v>
      </c>
      <c r="C98" s="51" t="s">
        <v>312</v>
      </c>
      <c r="D98" s="51" t="str">
        <f t="shared" si="1"/>
        <v>LEBANON</v>
      </c>
    </row>
    <row r="99" ht="15.75" customHeight="1">
      <c r="B99" s="145" t="s">
        <v>313</v>
      </c>
      <c r="C99" s="51" t="s">
        <v>314</v>
      </c>
      <c r="D99" s="51" t="str">
        <f t="shared" si="1"/>
        <v>LESOTHO</v>
      </c>
    </row>
    <row r="100" ht="15.75" customHeight="1">
      <c r="B100" s="145" t="s">
        <v>315</v>
      </c>
      <c r="C100" s="51" t="s">
        <v>316</v>
      </c>
      <c r="D100" s="51" t="str">
        <f t="shared" si="1"/>
        <v>LIBERIA</v>
      </c>
    </row>
    <row r="101" ht="15.75" customHeight="1">
      <c r="B101" s="145" t="s">
        <v>317</v>
      </c>
      <c r="C101" s="51" t="s">
        <v>318</v>
      </c>
      <c r="D101" s="51" t="str">
        <f t="shared" si="1"/>
        <v>LIBYA</v>
      </c>
    </row>
    <row r="102" ht="15.75" customHeight="1">
      <c r="B102" s="145" t="s">
        <v>319</v>
      </c>
      <c r="C102" s="51" t="s">
        <v>320</v>
      </c>
      <c r="D102" s="51" t="str">
        <f t="shared" si="1"/>
        <v>LIECHTENSTEIN</v>
      </c>
    </row>
    <row r="103" ht="15.75" customHeight="1">
      <c r="B103" s="145" t="s">
        <v>321</v>
      </c>
      <c r="C103" s="51" t="s">
        <v>322</v>
      </c>
      <c r="D103" s="51" t="str">
        <f t="shared" si="1"/>
        <v>LITHUANIA</v>
      </c>
    </row>
    <row r="104" ht="15.75" customHeight="1">
      <c r="B104" s="145" t="s">
        <v>323</v>
      </c>
      <c r="C104" s="51" t="s">
        <v>324</v>
      </c>
      <c r="D104" s="51" t="str">
        <f t="shared" si="1"/>
        <v>LUXEMBOURG</v>
      </c>
    </row>
    <row r="105" ht="15.75" customHeight="1">
      <c r="B105" s="145" t="s">
        <v>325</v>
      </c>
      <c r="C105" s="51" t="s">
        <v>326</v>
      </c>
      <c r="D105" s="51" t="str">
        <f t="shared" si="1"/>
        <v>MACAO, CHINA</v>
      </c>
    </row>
    <row r="106" ht="15.75" customHeight="1">
      <c r="B106" s="145" t="s">
        <v>327</v>
      </c>
      <c r="C106" s="51" t="s">
        <v>328</v>
      </c>
      <c r="D106" s="51" t="str">
        <f t="shared" si="1"/>
        <v>MADAGASCAR</v>
      </c>
    </row>
    <row r="107" ht="15.75" customHeight="1">
      <c r="B107" s="145" t="s">
        <v>329</v>
      </c>
      <c r="C107" s="51" t="s">
        <v>330</v>
      </c>
      <c r="D107" s="51" t="str">
        <f t="shared" si="1"/>
        <v>MALAWI</v>
      </c>
    </row>
    <row r="108" ht="15.75" customHeight="1">
      <c r="B108" s="145" t="s">
        <v>331</v>
      </c>
      <c r="C108" s="51" t="s">
        <v>332</v>
      </c>
      <c r="D108" s="51" t="str">
        <f t="shared" si="1"/>
        <v>MALAYSIA</v>
      </c>
    </row>
    <row r="109" ht="15.75" customHeight="1">
      <c r="B109" s="145" t="s">
        <v>333</v>
      </c>
      <c r="C109" s="51" t="s">
        <v>334</v>
      </c>
      <c r="D109" s="51" t="str">
        <f t="shared" si="1"/>
        <v>MALI</v>
      </c>
    </row>
    <row r="110" ht="15.75" customHeight="1">
      <c r="B110" s="145" t="s">
        <v>335</v>
      </c>
      <c r="C110" s="51" t="s">
        <v>336</v>
      </c>
      <c r="D110" s="51" t="str">
        <f t="shared" si="1"/>
        <v>MALTA</v>
      </c>
    </row>
    <row r="111" ht="15.75" customHeight="1">
      <c r="B111" s="145" t="s">
        <v>337</v>
      </c>
      <c r="C111" s="51" t="s">
        <v>338</v>
      </c>
      <c r="D111" s="51" t="str">
        <f t="shared" si="1"/>
        <v>MAURITANIA</v>
      </c>
    </row>
    <row r="112" ht="15.75" customHeight="1">
      <c r="B112" s="145" t="s">
        <v>339</v>
      </c>
      <c r="C112" s="51" t="s">
        <v>340</v>
      </c>
      <c r="D112" s="51" t="str">
        <f t="shared" si="1"/>
        <v>MAURITIUS</v>
      </c>
    </row>
    <row r="113" ht="15.75" customHeight="1">
      <c r="B113" s="145" t="s">
        <v>341</v>
      </c>
      <c r="C113" s="51" t="s">
        <v>342</v>
      </c>
      <c r="D113" s="51" t="str">
        <f t="shared" si="1"/>
        <v>MEXICO</v>
      </c>
    </row>
    <row r="114" ht="15.75" customHeight="1">
      <c r="B114" s="145" t="s">
        <v>343</v>
      </c>
      <c r="C114" s="51" t="s">
        <v>344</v>
      </c>
      <c r="D114" s="51" t="str">
        <f t="shared" si="1"/>
        <v>MONACO</v>
      </c>
    </row>
    <row r="115" ht="15.75" customHeight="1">
      <c r="B115" s="145" t="s">
        <v>345</v>
      </c>
      <c r="C115" s="51" t="s">
        <v>346</v>
      </c>
      <c r="D115" s="51" t="str">
        <f t="shared" si="1"/>
        <v>MONGOLIA</v>
      </c>
    </row>
    <row r="116" ht="15.75" customHeight="1">
      <c r="B116" s="145" t="s">
        <v>347</v>
      </c>
      <c r="C116" s="51" t="s">
        <v>348</v>
      </c>
      <c r="D116" s="51" t="str">
        <f t="shared" si="1"/>
        <v>MONTENEGRO</v>
      </c>
    </row>
    <row r="117" ht="15.75" customHeight="1">
      <c r="B117" s="145" t="s">
        <v>349</v>
      </c>
      <c r="C117" s="51" t="s">
        <v>350</v>
      </c>
      <c r="D117" s="51" t="str">
        <f t="shared" si="1"/>
        <v>MOROCCO</v>
      </c>
    </row>
    <row r="118" ht="15.75" customHeight="1">
      <c r="B118" s="145" t="s">
        <v>351</v>
      </c>
      <c r="C118" s="51" t="s">
        <v>352</v>
      </c>
      <c r="D118" s="51" t="str">
        <f t="shared" si="1"/>
        <v>MOZAMBIQUE</v>
      </c>
    </row>
    <row r="119" ht="15.75" customHeight="1">
      <c r="B119" s="145" t="s">
        <v>353</v>
      </c>
      <c r="C119" s="51" t="s">
        <v>354</v>
      </c>
      <c r="D119" s="51" t="str">
        <f t="shared" si="1"/>
        <v>MYANMAR</v>
      </c>
    </row>
    <row r="120" ht="15.75" customHeight="1">
      <c r="B120" s="145" t="s">
        <v>355</v>
      </c>
      <c r="C120" s="51" t="s">
        <v>356</v>
      </c>
      <c r="D120" s="51" t="str">
        <f t="shared" si="1"/>
        <v>NAMIBIA</v>
      </c>
    </row>
    <row r="121" ht="15.75" customHeight="1">
      <c r="B121" s="145" t="s">
        <v>357</v>
      </c>
      <c r="C121" s="51" t="s">
        <v>358</v>
      </c>
      <c r="D121" s="51" t="str">
        <f t="shared" si="1"/>
        <v>NEPAL</v>
      </c>
    </row>
    <row r="122" ht="15.75" customHeight="1">
      <c r="B122" s="145" t="s">
        <v>359</v>
      </c>
      <c r="C122" s="51" t="s">
        <v>360</v>
      </c>
      <c r="D122" s="51" t="str">
        <f t="shared" si="1"/>
        <v>NETHERLANDS</v>
      </c>
    </row>
    <row r="123" ht="15.75" customHeight="1">
      <c r="B123" s="145" t="s">
        <v>361</v>
      </c>
      <c r="C123" s="51" t="s">
        <v>362</v>
      </c>
      <c r="D123" s="51" t="str">
        <f t="shared" si="1"/>
        <v>NEW ZEALAND</v>
      </c>
    </row>
    <row r="124" ht="15.75" customHeight="1">
      <c r="B124" s="145" t="s">
        <v>363</v>
      </c>
      <c r="C124" s="51" t="s">
        <v>364</v>
      </c>
      <c r="D124" s="51" t="str">
        <f t="shared" si="1"/>
        <v>NICARAGUA</v>
      </c>
    </row>
    <row r="125" ht="15.75" customHeight="1">
      <c r="B125" s="145" t="s">
        <v>365</v>
      </c>
      <c r="C125" s="51" t="s">
        <v>366</v>
      </c>
      <c r="D125" s="51" t="str">
        <f t="shared" si="1"/>
        <v>NIGER</v>
      </c>
    </row>
    <row r="126" ht="15.75" customHeight="1">
      <c r="B126" s="145" t="s">
        <v>367</v>
      </c>
      <c r="C126" s="51" t="s">
        <v>368</v>
      </c>
      <c r="D126" s="51" t="str">
        <f t="shared" si="1"/>
        <v>NIGERIA</v>
      </c>
    </row>
    <row r="127" ht="15.75" customHeight="1">
      <c r="B127" s="145" t="s">
        <v>369</v>
      </c>
      <c r="C127" s="51" t="s">
        <v>370</v>
      </c>
      <c r="D127" s="51" t="str">
        <f t="shared" si="1"/>
        <v>NORWAY</v>
      </c>
    </row>
    <row r="128" ht="15.75" customHeight="1">
      <c r="B128" s="145" t="s">
        <v>371</v>
      </c>
      <c r="C128" s="51" t="s">
        <v>372</v>
      </c>
      <c r="D128" s="51" t="str">
        <f t="shared" si="1"/>
        <v>OMAN</v>
      </c>
    </row>
    <row r="129" ht="15.75" customHeight="1">
      <c r="B129" s="145" t="s">
        <v>373</v>
      </c>
      <c r="C129" s="51" t="s">
        <v>374</v>
      </c>
      <c r="D129" s="51" t="str">
        <f t="shared" si="1"/>
        <v>PAKISTAN</v>
      </c>
    </row>
    <row r="130" ht="15.75" customHeight="1">
      <c r="B130" s="145" t="s">
        <v>375</v>
      </c>
      <c r="C130" s="51" t="s">
        <v>376</v>
      </c>
      <c r="D130" s="51" t="str">
        <f t="shared" si="1"/>
        <v>PANAMA</v>
      </c>
    </row>
    <row r="131" ht="15.75" customHeight="1">
      <c r="B131" s="145" t="s">
        <v>377</v>
      </c>
      <c r="C131" s="51" t="s">
        <v>378</v>
      </c>
      <c r="D131" s="51" t="str">
        <f t="shared" si="1"/>
        <v>PARAGUAY</v>
      </c>
    </row>
    <row r="132" ht="15.75" customHeight="1">
      <c r="B132" s="145" t="s">
        <v>379</v>
      </c>
      <c r="C132" s="51" t="s">
        <v>380</v>
      </c>
      <c r="D132" s="51" t="str">
        <f t="shared" si="1"/>
        <v>PEOPLE'S REPUBLIC OF CHINA</v>
      </c>
    </row>
    <row r="133" ht="15.75" customHeight="1">
      <c r="B133" s="145" t="s">
        <v>381</v>
      </c>
      <c r="C133" s="51" t="s">
        <v>382</v>
      </c>
      <c r="D133" s="51" t="str">
        <f t="shared" si="1"/>
        <v>PERU</v>
      </c>
    </row>
    <row r="134" ht="15.75" customHeight="1">
      <c r="B134" s="145" t="s">
        <v>383</v>
      </c>
      <c r="C134" s="51" t="s">
        <v>384</v>
      </c>
      <c r="D134" s="51" t="str">
        <f t="shared" si="1"/>
        <v>PHILIPPINES</v>
      </c>
    </row>
    <row r="135" ht="15.75" customHeight="1">
      <c r="B135" s="145" t="s">
        <v>385</v>
      </c>
      <c r="C135" s="51" t="s">
        <v>386</v>
      </c>
      <c r="D135" s="51" t="str">
        <f t="shared" si="1"/>
        <v>POLAND</v>
      </c>
    </row>
    <row r="136" ht="15.75" customHeight="1">
      <c r="B136" s="145" t="s">
        <v>387</v>
      </c>
      <c r="C136" s="51" t="s">
        <v>388</v>
      </c>
      <c r="D136" s="51" t="str">
        <f t="shared" si="1"/>
        <v>PORTUGAL</v>
      </c>
    </row>
    <row r="137" ht="15.75" customHeight="1">
      <c r="B137" s="145" t="s">
        <v>389</v>
      </c>
      <c r="C137" s="51" t="s">
        <v>390</v>
      </c>
      <c r="D137" s="51" t="str">
        <f t="shared" si="1"/>
        <v>PUERTO RICO</v>
      </c>
    </row>
    <row r="138" ht="15.75" customHeight="1">
      <c r="B138" s="145" t="s">
        <v>391</v>
      </c>
      <c r="C138" s="51" t="s">
        <v>392</v>
      </c>
      <c r="D138" s="51" t="str">
        <f t="shared" si="1"/>
        <v>QATAR</v>
      </c>
    </row>
    <row r="139" ht="15.75" customHeight="1">
      <c r="B139" s="145" t="s">
        <v>393</v>
      </c>
      <c r="C139" s="51" t="s">
        <v>394</v>
      </c>
      <c r="D139" s="51" t="str">
        <f t="shared" si="1"/>
        <v>REPUBLIC OF MOLDOVA</v>
      </c>
    </row>
    <row r="140" ht="15.75" customHeight="1">
      <c r="B140" s="145" t="s">
        <v>395</v>
      </c>
      <c r="C140" s="51" t="s">
        <v>396</v>
      </c>
      <c r="D140" s="51" t="str">
        <f t="shared" si="1"/>
        <v>ROMANIA</v>
      </c>
    </row>
    <row r="141" ht="15.75" customHeight="1">
      <c r="B141" s="145" t="s">
        <v>397</v>
      </c>
      <c r="C141" s="51" t="s">
        <v>398</v>
      </c>
      <c r="D141" s="51" t="str">
        <f t="shared" si="1"/>
        <v>RUSSIAN FEDERATION</v>
      </c>
    </row>
    <row r="142" ht="15.75" customHeight="1">
      <c r="B142" s="145" t="s">
        <v>399</v>
      </c>
      <c r="C142" s="51" t="s">
        <v>400</v>
      </c>
      <c r="D142" s="51" t="str">
        <f t="shared" si="1"/>
        <v>RWANDA</v>
      </c>
    </row>
    <row r="143" ht="15.75" customHeight="1">
      <c r="B143" s="145" t="s">
        <v>401</v>
      </c>
      <c r="C143" s="51" t="s">
        <v>402</v>
      </c>
      <c r="D143" s="51" t="str">
        <f t="shared" si="1"/>
        <v>SAINT KITTS AND NEVIS</v>
      </c>
    </row>
    <row r="144" ht="15.75" customHeight="1">
      <c r="B144" s="145" t="s">
        <v>403</v>
      </c>
      <c r="C144" s="51" t="s">
        <v>404</v>
      </c>
      <c r="D144" s="51" t="str">
        <f t="shared" si="1"/>
        <v>SAINT LUCIA</v>
      </c>
    </row>
    <row r="145" ht="15.75" customHeight="1">
      <c r="B145" s="145" t="s">
        <v>405</v>
      </c>
      <c r="C145" s="51" t="s">
        <v>406</v>
      </c>
      <c r="D145" s="51" t="str">
        <f t="shared" si="1"/>
        <v>SAINT VINCENT AND THE GRENADINES</v>
      </c>
    </row>
    <row r="146" ht="15.75" customHeight="1">
      <c r="B146" s="145" t="s">
        <v>407</v>
      </c>
      <c r="C146" s="51" t="s">
        <v>408</v>
      </c>
      <c r="D146" s="51" t="str">
        <f t="shared" si="1"/>
        <v>SAN MARINO</v>
      </c>
    </row>
    <row r="147" ht="15.75" customHeight="1">
      <c r="B147" s="145" t="s">
        <v>409</v>
      </c>
      <c r="C147" s="51" t="s">
        <v>410</v>
      </c>
      <c r="D147" s="51" t="str">
        <f t="shared" si="1"/>
        <v>SAO TOME AND PRINCIPE</v>
      </c>
    </row>
    <row r="148" ht="15.75" customHeight="1">
      <c r="B148" s="145" t="s">
        <v>411</v>
      </c>
      <c r="C148" s="51" t="s">
        <v>412</v>
      </c>
      <c r="D148" s="51" t="str">
        <f t="shared" si="1"/>
        <v>SAUDI ARABIA</v>
      </c>
    </row>
    <row r="149" ht="15.75" customHeight="1">
      <c r="B149" s="145" t="s">
        <v>413</v>
      </c>
      <c r="C149" s="51" t="s">
        <v>414</v>
      </c>
      <c r="D149" s="51" t="str">
        <f t="shared" si="1"/>
        <v>SENEGAL</v>
      </c>
    </row>
    <row r="150" ht="15.75" customHeight="1">
      <c r="B150" s="145" t="s">
        <v>415</v>
      </c>
      <c r="C150" s="51" t="s">
        <v>416</v>
      </c>
      <c r="D150" s="51" t="str">
        <f t="shared" si="1"/>
        <v>SERBIA</v>
      </c>
    </row>
    <row r="151" ht="15.75" customHeight="1">
      <c r="B151" s="145" t="s">
        <v>417</v>
      </c>
      <c r="C151" s="51" t="s">
        <v>418</v>
      </c>
      <c r="D151" s="51" t="str">
        <f t="shared" si="1"/>
        <v>SEYCHELLES</v>
      </c>
    </row>
    <row r="152" ht="15.75" customHeight="1">
      <c r="B152" s="145" t="s">
        <v>419</v>
      </c>
      <c r="C152" s="51" t="s">
        <v>420</v>
      </c>
      <c r="D152" s="51" t="str">
        <f t="shared" si="1"/>
        <v>SIERRA LEONE</v>
      </c>
    </row>
    <row r="153" ht="15.75" customHeight="1">
      <c r="B153" s="145" t="s">
        <v>421</v>
      </c>
      <c r="C153" s="51" t="s">
        <v>422</v>
      </c>
      <c r="D153" s="51" t="str">
        <f t="shared" si="1"/>
        <v>SINGAPORE</v>
      </c>
    </row>
    <row r="154" ht="15.75" customHeight="1">
      <c r="B154" s="145" t="s">
        <v>423</v>
      </c>
      <c r="C154" s="51" t="s">
        <v>424</v>
      </c>
      <c r="D154" s="51" t="str">
        <f t="shared" si="1"/>
        <v>SLOVAKIA</v>
      </c>
    </row>
    <row r="155" ht="15.75" customHeight="1">
      <c r="B155" s="145" t="s">
        <v>425</v>
      </c>
      <c r="C155" s="51" t="s">
        <v>426</v>
      </c>
      <c r="D155" s="51" t="str">
        <f t="shared" si="1"/>
        <v>SLOVENIA</v>
      </c>
    </row>
    <row r="156" ht="15.75" customHeight="1">
      <c r="B156" s="145" t="s">
        <v>427</v>
      </c>
      <c r="C156" s="51" t="s">
        <v>428</v>
      </c>
      <c r="D156" s="51" t="str">
        <f t="shared" si="1"/>
        <v>SOMALIA</v>
      </c>
    </row>
    <row r="157" ht="15.75" customHeight="1">
      <c r="B157" s="145" t="s">
        <v>429</v>
      </c>
      <c r="C157" s="51" t="s">
        <v>430</v>
      </c>
      <c r="D157" s="51" t="str">
        <f t="shared" si="1"/>
        <v>SOUTH AFRICA</v>
      </c>
    </row>
    <row r="158" ht="15.75" customHeight="1">
      <c r="B158" s="145" t="s">
        <v>431</v>
      </c>
      <c r="C158" s="51" t="s">
        <v>432</v>
      </c>
      <c r="D158" s="51" t="str">
        <f t="shared" si="1"/>
        <v>SPAIN</v>
      </c>
    </row>
    <row r="159" ht="15.75" customHeight="1">
      <c r="B159" s="145" t="s">
        <v>433</v>
      </c>
      <c r="C159" s="51" t="s">
        <v>434</v>
      </c>
      <c r="D159" s="51" t="str">
        <f t="shared" si="1"/>
        <v>SRI LANKA</v>
      </c>
    </row>
    <row r="160" ht="15.75" customHeight="1">
      <c r="B160" s="145" t="s">
        <v>435</v>
      </c>
      <c r="C160" s="51" t="s">
        <v>436</v>
      </c>
      <c r="D160" s="51" t="str">
        <f t="shared" si="1"/>
        <v>SUDAN</v>
      </c>
    </row>
    <row r="161" ht="15.75" customHeight="1">
      <c r="B161" s="145" t="s">
        <v>437</v>
      </c>
      <c r="C161" s="51" t="s">
        <v>438</v>
      </c>
      <c r="D161" s="51" t="str">
        <f t="shared" si="1"/>
        <v>SURINAME</v>
      </c>
    </row>
    <row r="162" ht="15.75" customHeight="1">
      <c r="B162" s="145" t="s">
        <v>439</v>
      </c>
      <c r="C162" s="51" t="s">
        <v>440</v>
      </c>
      <c r="D162" s="51" t="str">
        <f t="shared" si="1"/>
        <v>SWAZILAND</v>
      </c>
    </row>
    <row r="163" ht="15.75" customHeight="1">
      <c r="B163" s="145" t="s">
        <v>441</v>
      </c>
      <c r="C163" s="51" t="s">
        <v>442</v>
      </c>
      <c r="D163" s="51" t="str">
        <f t="shared" si="1"/>
        <v>SWEDEN</v>
      </c>
    </row>
    <row r="164" ht="15.75" customHeight="1">
      <c r="B164" s="145" t="s">
        <v>443</v>
      </c>
      <c r="C164" s="51" t="s">
        <v>444</v>
      </c>
      <c r="D164" s="51" t="str">
        <f t="shared" si="1"/>
        <v>SWITZERLAND</v>
      </c>
    </row>
    <row r="165" ht="15.75" customHeight="1">
      <c r="B165" s="145" t="s">
        <v>445</v>
      </c>
      <c r="C165" s="51" t="s">
        <v>446</v>
      </c>
      <c r="D165" s="51" t="str">
        <f t="shared" si="1"/>
        <v>SYRIAN ARAB REPUBLIC</v>
      </c>
    </row>
    <row r="166" ht="15.75" customHeight="1">
      <c r="B166" s="145" t="s">
        <v>447</v>
      </c>
      <c r="C166" s="51" t="s">
        <v>448</v>
      </c>
      <c r="D166" s="51" t="str">
        <f t="shared" si="1"/>
        <v>TAJIKISTAN</v>
      </c>
    </row>
    <row r="167" ht="15.75" customHeight="1">
      <c r="B167" s="145" t="s">
        <v>449</v>
      </c>
      <c r="C167" s="51" t="s">
        <v>450</v>
      </c>
      <c r="D167" s="51" t="str">
        <f t="shared" si="1"/>
        <v>THAILAND</v>
      </c>
    </row>
    <row r="168" ht="15.75" customHeight="1">
      <c r="B168" s="145" t="s">
        <v>451</v>
      </c>
      <c r="C168" s="51" t="s">
        <v>452</v>
      </c>
      <c r="D168" s="51" t="str">
        <f t="shared" si="1"/>
        <v>TIMOR LESTE</v>
      </c>
    </row>
    <row r="169" ht="15.75" customHeight="1">
      <c r="B169" s="145" t="s">
        <v>453</v>
      </c>
      <c r="C169" s="51" t="s">
        <v>454</v>
      </c>
      <c r="D169" s="51" t="str">
        <f t="shared" si="1"/>
        <v>TOGO</v>
      </c>
    </row>
    <row r="170" ht="15.75" customHeight="1">
      <c r="B170" s="145" t="s">
        <v>455</v>
      </c>
      <c r="C170" s="51" t="s">
        <v>456</v>
      </c>
      <c r="D170" s="51" t="str">
        <f t="shared" si="1"/>
        <v>TRINIDAD AND TOBAGO</v>
      </c>
    </row>
    <row r="171" ht="15.75" customHeight="1">
      <c r="B171" s="145" t="s">
        <v>457</v>
      </c>
      <c r="C171" s="51" t="s">
        <v>458</v>
      </c>
      <c r="D171" s="51" t="str">
        <f t="shared" si="1"/>
        <v>TUNISIA</v>
      </c>
    </row>
    <row r="172" ht="15.75" customHeight="1">
      <c r="B172" s="145" t="s">
        <v>459</v>
      </c>
      <c r="C172" s="51" t="s">
        <v>460</v>
      </c>
      <c r="D172" s="51" t="str">
        <f t="shared" si="1"/>
        <v>TURKEY</v>
      </c>
    </row>
    <row r="173" ht="15.75" customHeight="1">
      <c r="B173" s="145" t="s">
        <v>461</v>
      </c>
      <c r="C173" s="51" t="s">
        <v>462</v>
      </c>
      <c r="D173" s="51" t="str">
        <f t="shared" si="1"/>
        <v>TURKMENISTAN</v>
      </c>
    </row>
    <row r="174" ht="15.75" customHeight="1">
      <c r="B174" s="145" t="s">
        <v>463</v>
      </c>
      <c r="C174" s="51" t="s">
        <v>464</v>
      </c>
      <c r="D174" s="51" t="str">
        <f t="shared" si="1"/>
        <v>UGANDA</v>
      </c>
    </row>
    <row r="175" ht="15.75" customHeight="1">
      <c r="B175" s="145" t="s">
        <v>465</v>
      </c>
      <c r="C175" s="51" t="s">
        <v>466</v>
      </c>
      <c r="D175" s="51" t="str">
        <f t="shared" si="1"/>
        <v>UKRAINE</v>
      </c>
    </row>
    <row r="176" ht="15.75" customHeight="1">
      <c r="B176" s="145" t="s">
        <v>467</v>
      </c>
      <c r="C176" s="51" t="s">
        <v>468</v>
      </c>
      <c r="D176" s="51" t="str">
        <f t="shared" si="1"/>
        <v>UNITED ARAB EMIRATES</v>
      </c>
    </row>
    <row r="177" ht="15.75" customHeight="1">
      <c r="B177" s="145" t="s">
        <v>469</v>
      </c>
      <c r="C177" s="51" t="s">
        <v>470</v>
      </c>
      <c r="D177" s="51" t="str">
        <f t="shared" si="1"/>
        <v>UNITED REPUBLIC OF TANZANIA</v>
      </c>
    </row>
    <row r="178" ht="15.75" customHeight="1">
      <c r="B178" s="145" t="s">
        <v>471</v>
      </c>
      <c r="C178" s="51" t="s">
        <v>472</v>
      </c>
      <c r="D178" s="51" t="str">
        <f t="shared" si="1"/>
        <v>UNITED STATES OF AMERICA</v>
      </c>
    </row>
    <row r="179" ht="15.75" customHeight="1">
      <c r="B179" s="145" t="s">
        <v>473</v>
      </c>
      <c r="C179" s="51" t="s">
        <v>474</v>
      </c>
      <c r="D179" s="51" t="str">
        <f t="shared" si="1"/>
        <v>URUGUAY</v>
      </c>
    </row>
    <row r="180" ht="15.75" customHeight="1">
      <c r="B180" s="145" t="s">
        <v>475</v>
      </c>
      <c r="C180" s="51" t="s">
        <v>476</v>
      </c>
      <c r="D180" s="51" t="str">
        <f t="shared" si="1"/>
        <v>UZBEKISTAN</v>
      </c>
    </row>
    <row r="181" ht="15.75" customHeight="1">
      <c r="B181" s="145" t="s">
        <v>477</v>
      </c>
      <c r="C181" s="51" t="s">
        <v>478</v>
      </c>
      <c r="D181" s="51" t="str">
        <f t="shared" si="1"/>
        <v>VANUATU</v>
      </c>
    </row>
    <row r="182" ht="15.75" customHeight="1">
      <c r="B182" s="145" t="s">
        <v>479</v>
      </c>
      <c r="C182" s="51" t="s">
        <v>480</v>
      </c>
      <c r="D182" s="51" t="str">
        <f t="shared" si="1"/>
        <v>VIETNAM</v>
      </c>
    </row>
    <row r="183" ht="15.75" customHeight="1">
      <c r="B183" s="145" t="s">
        <v>481</v>
      </c>
      <c r="C183" s="51" t="s">
        <v>482</v>
      </c>
      <c r="D183" s="51" t="str">
        <f t="shared" si="1"/>
        <v>VIRGIN ISLANDS</v>
      </c>
    </row>
    <row r="184" ht="15.75" customHeight="1">
      <c r="B184" s="145" t="s">
        <v>483</v>
      </c>
      <c r="C184" s="51" t="s">
        <v>484</v>
      </c>
      <c r="D184" s="51" t="str">
        <f t="shared" si="1"/>
        <v>YEMEN</v>
      </c>
    </row>
    <row r="185" ht="15.75" customHeight="1">
      <c r="B185" s="145" t="s">
        <v>485</v>
      </c>
      <c r="C185" s="51" t="s">
        <v>486</v>
      </c>
      <c r="D185" s="51" t="str">
        <f t="shared" si="1"/>
        <v>ZAMBIA</v>
      </c>
    </row>
    <row r="186" ht="15.75" customHeight="1">
      <c r="B186" s="145" t="s">
        <v>487</v>
      </c>
      <c r="C186" s="51" t="s">
        <v>488</v>
      </c>
      <c r="D186" s="51" t="str">
        <f t="shared" si="1"/>
        <v>ZIMBABWE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2017-06-13T08:16:04Z</dcterms:created>
  <dc:creator>lservaes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0x010100B3702A0F05FE5445A8C9E13665455098</vt:lpwstr>
  </property>
  <property fmtid="{D5CDD505-2E9C-101B-9397-08002B2CF9AE}" pid="3" name="MediaServiceImageTags">
    <vt:lpwstr/>
  </property>
</Properties>
</file>